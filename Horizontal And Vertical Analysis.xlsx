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118D9453-9FA6-4833-B580-E193901A181A}" xr6:coauthVersionLast="47" xr6:coauthVersionMax="47" xr10:uidLastSave="{00000000-0000-0000-0000-000000000000}"/>
  <bookViews>
    <workbookView xWindow="-120" yWindow="-120" windowWidth="20730" windowHeight="11040" activeTab="1" xr2:uid="{C5A62E49-A5C8-4857-89D0-1A744ECA19C2}"/>
  </bookViews>
  <sheets>
    <sheet name="Horizontal Analysis" sheetId="5" r:id="rId1"/>
    <sheet name="Vertical Analysis" sheetId="6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6" l="1"/>
  <c r="E19" i="6"/>
  <c r="E18" i="6"/>
  <c r="E12" i="6"/>
  <c r="E13" i="6"/>
  <c r="E14" i="6"/>
  <c r="E15" i="6"/>
  <c r="E11" i="6"/>
  <c r="E7" i="6"/>
  <c r="E6" i="6"/>
  <c r="D16" i="6"/>
  <c r="E16" i="6" s="1"/>
  <c r="D8" i="6"/>
  <c r="E8" i="6" s="1"/>
  <c r="C19" i="6"/>
  <c r="B16" i="6"/>
  <c r="C16" i="6" s="1"/>
  <c r="C15" i="6"/>
  <c r="C14" i="6"/>
  <c r="C13" i="6"/>
  <c r="C12" i="6"/>
  <c r="C11" i="6"/>
  <c r="B8" i="6"/>
  <c r="C8" i="6" s="1"/>
  <c r="C7" i="6"/>
  <c r="C6" i="6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D18" i="6" l="1"/>
  <c r="B18" i="6"/>
  <c r="D20" i="6" l="1"/>
  <c r="B20" i="6"/>
  <c r="C20" i="6" s="1"/>
  <c r="C18" i="6"/>
</calcChain>
</file>

<file path=xl/sharedStrings.xml><?xml version="1.0" encoding="utf-8"?>
<sst xmlns="http://schemas.openxmlformats.org/spreadsheetml/2006/main" count="34" uniqueCount="24">
  <si>
    <t>TechVenture Solutions Inc.</t>
  </si>
  <si>
    <t>Comparative Income Statement - Horizontal Analysis</t>
  </si>
  <si>
    <t>Years Ended December 31, 2024 and 2023</t>
  </si>
  <si>
    <t>Account</t>
  </si>
  <si>
    <t>$ Change</t>
  </si>
  <si>
    <t>% Change</t>
  </si>
  <si>
    <t>Revenue</t>
  </si>
  <si>
    <t>Cost of Goods Sold</t>
  </si>
  <si>
    <t>Gross Profit</t>
  </si>
  <si>
    <t>Operating Expenses</t>
  </si>
  <si>
    <t>Operating Income</t>
  </si>
  <si>
    <t>Interest Expense</t>
  </si>
  <si>
    <t>Net Income</t>
  </si>
  <si>
    <t>Common-Size Income Statement - Vertical Analysis</t>
  </si>
  <si>
    <t>Year Ended December 31, 2024</t>
  </si>
  <si>
    <t>Amount</t>
  </si>
  <si>
    <t>% of Revenue</t>
  </si>
  <si>
    <t>Operating Expenses:</t>
  </si>
  <si>
    <t xml:space="preserve">  Salaries &amp; Wages</t>
  </si>
  <si>
    <t xml:space="preserve">  Rent Expense</t>
  </si>
  <si>
    <t xml:space="preserve">  Marketing</t>
  </si>
  <si>
    <t xml:space="preserve">  Utilities</t>
  </si>
  <si>
    <t xml:space="preserve">  Other Operating Expenses</t>
  </si>
  <si>
    <t>Total Operating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</si>
</sst>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74A0-BC01-48CB-93A4-BDD360B08BBB}">
  <dimension ref="A1:E12"/>
  <sheetViews>
    <sheetView workbookViewId="0">
      <selection activeCell="F10" sqref="F10"/>
    </sheetView>
  </sheetViews>
  <sheetFormatPr defaultColWidth="19.42578125" defaultRowHeight="15" x14ac:dyDescent="0.25"/>
  <cols>
    <col min="6" max="6" width="46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</row>
    <row r="5" spans="1:5" x14ac:dyDescent="0.25">
      <c r="A5" t="s">
        <v>3</v>
      </c>
      <c r="B5">
        <v>2024</v>
      </c>
      <c r="C5">
        <v>2023</v>
      </c>
      <c r="D5" t="s">
        <v>4</v>
      </c>
      <c r="E5" t="s">
        <v>5</v>
      </c>
    </row>
    <row r="6" spans="1:5" x14ac:dyDescent="0.25">
      <c r="A6" t="s">
        <v>6</v>
      </c>
      <c r="B6">
        <v>500000</v>
      </c>
      <c r="C6">
        <v>425000</v>
      </c>
      <c r="D6">
        <f>B6-C6</f>
        <v>75000</v>
      </c>
      <c r="E6" s="1">
        <f>(B6-C6)/C6</f>
        <v>0.17647058823529413</v>
      </c>
    </row>
    <row r="7" spans="1:5" x14ac:dyDescent="0.25">
      <c r="A7" t="s">
        <v>7</v>
      </c>
      <c r="B7">
        <v>200000</v>
      </c>
      <c r="C7">
        <v>180000</v>
      </c>
      <c r="D7">
        <f t="shared" ref="D7:D12" si="0">B7-C7</f>
        <v>20000</v>
      </c>
      <c r="E7" s="1">
        <f t="shared" ref="E7:E12" si="1">(B7-C7)/C7</f>
        <v>0.1111111111111111</v>
      </c>
    </row>
    <row r="8" spans="1:5" x14ac:dyDescent="0.25">
      <c r="A8" t="s">
        <v>8</v>
      </c>
      <c r="B8">
        <v>300000</v>
      </c>
      <c r="C8">
        <v>245000</v>
      </c>
      <c r="D8">
        <f t="shared" si="0"/>
        <v>55000</v>
      </c>
      <c r="E8" s="1">
        <f t="shared" si="1"/>
        <v>0.22448979591836735</v>
      </c>
    </row>
    <row r="9" spans="1:5" x14ac:dyDescent="0.25">
      <c r="A9" t="s">
        <v>9</v>
      </c>
      <c r="B9">
        <v>150000</v>
      </c>
      <c r="C9">
        <v>135000</v>
      </c>
      <c r="D9">
        <f t="shared" si="0"/>
        <v>15000</v>
      </c>
      <c r="E9" s="1">
        <f t="shared" si="1"/>
        <v>0.1111111111111111</v>
      </c>
    </row>
    <row r="10" spans="1:5" x14ac:dyDescent="0.25">
      <c r="A10" t="s">
        <v>10</v>
      </c>
      <c r="B10">
        <v>150000</v>
      </c>
      <c r="C10">
        <v>110000</v>
      </c>
      <c r="D10">
        <f t="shared" si="0"/>
        <v>40000</v>
      </c>
      <c r="E10" s="1">
        <f t="shared" si="1"/>
        <v>0.36363636363636365</v>
      </c>
    </row>
    <row r="11" spans="1:5" x14ac:dyDescent="0.25">
      <c r="A11" t="s">
        <v>11</v>
      </c>
      <c r="B11">
        <v>5000</v>
      </c>
      <c r="C11">
        <v>6000</v>
      </c>
      <c r="D11">
        <f t="shared" si="0"/>
        <v>-1000</v>
      </c>
      <c r="E11" s="1">
        <f t="shared" si="1"/>
        <v>-0.16666666666666666</v>
      </c>
    </row>
    <row r="12" spans="1:5" x14ac:dyDescent="0.25">
      <c r="A12" t="s">
        <v>12</v>
      </c>
      <c r="B12">
        <v>145000</v>
      </c>
      <c r="C12">
        <v>104000</v>
      </c>
      <c r="D12">
        <f t="shared" si="0"/>
        <v>41000</v>
      </c>
      <c r="E12" s="1">
        <f t="shared" si="1"/>
        <v>0.39423076923076922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810B-2117-4045-91F4-1A8040CEF0A4}">
  <dimension ref="A1:E20"/>
  <sheetViews>
    <sheetView tabSelected="1" topLeftCell="C1" workbookViewId="0">
      <selection activeCell="E7" sqref="E7"/>
    </sheetView>
  </sheetViews>
  <sheetFormatPr defaultColWidth="40" defaultRowHeight="15" x14ac:dyDescent="0.25"/>
  <cols>
    <col min="2" max="2" width="24.42578125" customWidth="1"/>
  </cols>
  <sheetData>
    <row r="1" spans="1:5" x14ac:dyDescent="0.25">
      <c r="A1" t="s">
        <v>0</v>
      </c>
    </row>
    <row r="2" spans="1:5" x14ac:dyDescent="0.25">
      <c r="A2" t="s">
        <v>13</v>
      </c>
    </row>
    <row r="3" spans="1:5" x14ac:dyDescent="0.25">
      <c r="A3" t="s">
        <v>14</v>
      </c>
    </row>
    <row r="5" spans="1:5" x14ac:dyDescent="0.25">
      <c r="A5" t="s">
        <v>3</v>
      </c>
      <c r="B5" t="s">
        <v>15</v>
      </c>
      <c r="C5" t="s">
        <v>16</v>
      </c>
      <c r="D5" t="s">
        <v>15</v>
      </c>
      <c r="E5" t="s">
        <v>16</v>
      </c>
    </row>
    <row r="6" spans="1:5" x14ac:dyDescent="0.25">
      <c r="A6" t="s">
        <v>6</v>
      </c>
      <c r="B6">
        <v>500000</v>
      </c>
      <c r="C6" s="1">
        <f>B6/$B$6</f>
        <v>1</v>
      </c>
      <c r="D6">
        <v>1300000</v>
      </c>
      <c r="E6" s="1">
        <f>D6/$D$6</f>
        <v>1</v>
      </c>
    </row>
    <row r="7" spans="1:5" x14ac:dyDescent="0.25">
      <c r="A7" t="s">
        <v>7</v>
      </c>
      <c r="B7">
        <v>200000</v>
      </c>
      <c r="C7" s="1">
        <f>B7/$B$6</f>
        <v>0.4</v>
      </c>
      <c r="D7">
        <v>530000</v>
      </c>
      <c r="E7" s="1">
        <f t="shared" ref="E7:E8" si="0">D7/$D$6</f>
        <v>0.40769230769230769</v>
      </c>
    </row>
    <row r="8" spans="1:5" x14ac:dyDescent="0.25">
      <c r="A8" t="s">
        <v>8</v>
      </c>
      <c r="B8">
        <f>B6-B7</f>
        <v>300000</v>
      </c>
      <c r="C8" s="1">
        <f>B8/$B$6</f>
        <v>0.6</v>
      </c>
      <c r="D8">
        <f>D6-D7</f>
        <v>770000</v>
      </c>
      <c r="E8" s="1">
        <f t="shared" si="0"/>
        <v>0.59230769230769231</v>
      </c>
    </row>
    <row r="10" spans="1:5" x14ac:dyDescent="0.25">
      <c r="A10" t="s">
        <v>17</v>
      </c>
    </row>
    <row r="11" spans="1:5" x14ac:dyDescent="0.25">
      <c r="A11" t="s">
        <v>18</v>
      </c>
      <c r="B11">
        <v>80000</v>
      </c>
      <c r="C11" s="1">
        <f>B11/$B$6</f>
        <v>0.16</v>
      </c>
      <c r="D11">
        <v>100000</v>
      </c>
      <c r="E11" s="1">
        <f>D11/$D$6</f>
        <v>7.6923076923076927E-2</v>
      </c>
    </row>
    <row r="12" spans="1:5" x14ac:dyDescent="0.25">
      <c r="A12" t="s">
        <v>19</v>
      </c>
      <c r="B12">
        <v>30000</v>
      </c>
      <c r="C12" s="1">
        <f>B12/$B$6</f>
        <v>0.06</v>
      </c>
      <c r="D12">
        <v>50000</v>
      </c>
      <c r="E12" s="1">
        <f t="shared" ref="E12:E15" si="1">D12/$D$6</f>
        <v>3.8461538461538464E-2</v>
      </c>
    </row>
    <row r="13" spans="1:5" x14ac:dyDescent="0.25">
      <c r="A13" t="s">
        <v>20</v>
      </c>
      <c r="B13">
        <v>25000</v>
      </c>
      <c r="C13" s="1">
        <f t="shared" ref="C13:C15" si="2">B13/$B$6</f>
        <v>0.05</v>
      </c>
      <c r="D13">
        <v>45000</v>
      </c>
      <c r="E13" s="1">
        <f t="shared" si="1"/>
        <v>3.4615384615384617E-2</v>
      </c>
    </row>
    <row r="14" spans="1:5" x14ac:dyDescent="0.25">
      <c r="A14" t="s">
        <v>21</v>
      </c>
      <c r="B14">
        <v>8000</v>
      </c>
      <c r="C14" s="1">
        <f t="shared" si="2"/>
        <v>1.6E-2</v>
      </c>
      <c r="D14">
        <v>18000</v>
      </c>
      <c r="E14" s="1">
        <f t="shared" si="1"/>
        <v>1.3846153846153847E-2</v>
      </c>
    </row>
    <row r="15" spans="1:5" x14ac:dyDescent="0.25">
      <c r="A15" t="s">
        <v>22</v>
      </c>
      <c r="B15">
        <v>7000</v>
      </c>
      <c r="C15" s="1">
        <f t="shared" si="2"/>
        <v>1.4E-2</v>
      </c>
      <c r="D15">
        <v>7000</v>
      </c>
      <c r="E15" s="1">
        <f t="shared" si="1"/>
        <v>5.3846153846153844E-3</v>
      </c>
    </row>
    <row r="16" spans="1:5" x14ac:dyDescent="0.25">
      <c r="A16" t="s">
        <v>23</v>
      </c>
      <c r="B16">
        <f>SUM(B11:B15)</f>
        <v>150000</v>
      </c>
      <c r="C16" s="1">
        <f>B16/$B$6</f>
        <v>0.3</v>
      </c>
      <c r="D16">
        <f>SUM(D11:D15)</f>
        <v>220000</v>
      </c>
      <c r="E16" s="1">
        <f>D16/$D$6</f>
        <v>0.16923076923076924</v>
      </c>
    </row>
    <row r="18" spans="1:5" x14ac:dyDescent="0.25">
      <c r="A18" t="s">
        <v>10</v>
      </c>
      <c r="B18">
        <f>B8-B16</f>
        <v>150000</v>
      </c>
      <c r="C18" s="1">
        <f>B18/$B$6</f>
        <v>0.3</v>
      </c>
      <c r="D18">
        <f>D8-D16</f>
        <v>550000</v>
      </c>
      <c r="E18" s="1">
        <f>D18/$D$6</f>
        <v>0.42307692307692307</v>
      </c>
    </row>
    <row r="19" spans="1:5" x14ac:dyDescent="0.25">
      <c r="A19" t="s">
        <v>11</v>
      </c>
      <c r="B19">
        <v>5000</v>
      </c>
      <c r="C19" s="1">
        <f>B19/$B$6</f>
        <v>0.01</v>
      </c>
      <c r="D19">
        <v>5000</v>
      </c>
      <c r="E19" s="1">
        <f>D19/$D$6</f>
        <v>3.8461538461538464E-3</v>
      </c>
    </row>
    <row r="20" spans="1:5" x14ac:dyDescent="0.25">
      <c r="A20" t="s">
        <v>12</v>
      </c>
      <c r="B20">
        <f>B18-B19</f>
        <v>145000</v>
      </c>
      <c r="C20" s="1">
        <f>B20/$B$6</f>
        <v>0.28999999999999998</v>
      </c>
      <c r="D20">
        <f>D18-D19</f>
        <v>545000</v>
      </c>
      <c r="E20" s="1">
        <f>D20/$D$6</f>
        <v>0.41923076923076924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Horizontal Analysis</vt:lpstr>
      <vt:lpstr>Vertical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Iftikhar</dc:creator>
  <cp:lastModifiedBy>Mariam Iftikhar</cp:lastModifiedBy>
  <dcterms:created xsi:type="dcterms:W3CDTF">2025-12-18T02:24:46Z</dcterms:created>
  <dcterms:modified xsi:type="dcterms:W3CDTF">2025-12-25T05:23:35Z</dcterms:modified>
</cp:coreProperties>
</file>