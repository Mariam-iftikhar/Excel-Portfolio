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64F18DDB-F26D-465E-8356-B82DD15D14CA}" xr6:coauthVersionLast="47" xr6:coauthVersionMax="47" xr10:uidLastSave="{00000000-0000-0000-0000-000000000000}"/>
  <bookViews>
    <workbookView xWindow="-120" yWindow="-120" windowWidth="20730" windowHeight="11040" xr2:uid="{C5A62E49-A5C8-4857-89D0-1A744ECA19C2}"/>
  </bookViews>
  <sheets>
    <sheet name="Horizontal Analysis" sheetId="7" r:id="rId1"/>
    <sheet name="Vertical Analysis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7" l="1"/>
  <c r="D12" i="7"/>
  <c r="E11" i="7"/>
  <c r="D11" i="7"/>
  <c r="E10" i="7"/>
  <c r="D10" i="7"/>
  <c r="E9" i="7"/>
  <c r="D9" i="7"/>
  <c r="E8" i="7"/>
  <c r="D8" i="7"/>
  <c r="E7" i="7"/>
  <c r="D7" i="7"/>
  <c r="E6" i="7"/>
  <c r="D6" i="7"/>
  <c r="F17" i="6"/>
  <c r="F10" i="6"/>
  <c r="F11" i="6"/>
  <c r="F12" i="6"/>
  <c r="F13" i="6"/>
  <c r="F9" i="6"/>
  <c r="F6" i="6"/>
  <c r="F5" i="6"/>
  <c r="E14" i="6"/>
  <c r="F14" i="6" s="1"/>
  <c r="E7" i="6"/>
  <c r="F7" i="6" s="1"/>
  <c r="C17" i="6"/>
  <c r="B14" i="6"/>
  <c r="C14" i="6" s="1"/>
  <c r="C13" i="6"/>
  <c r="C12" i="6"/>
  <c r="C11" i="6"/>
  <c r="C10" i="6"/>
  <c r="C9" i="6"/>
  <c r="B7" i="6"/>
  <c r="C7" i="6" s="1"/>
  <c r="C6" i="6"/>
  <c r="C5" i="6"/>
  <c r="E16" i="6" l="1"/>
  <c r="F16" i="6" s="1"/>
  <c r="B16" i="6"/>
  <c r="E18" i="6" l="1"/>
  <c r="F18" i="6" s="1"/>
  <c r="B18" i="6"/>
  <c r="C18" i="6" s="1"/>
  <c r="C16" i="6"/>
</calcChain>
</file>

<file path=xl/sharedStrings.xml><?xml version="1.0" encoding="utf-8"?>
<sst xmlns="http://schemas.openxmlformats.org/spreadsheetml/2006/main" count="35" uniqueCount="25">
  <si>
    <t>TechVenture Solutions Inc.</t>
  </si>
  <si>
    <t>Comparative Income Statement - Horizontal Analysis</t>
  </si>
  <si>
    <t>Years Ended December 31, 2024 and 2023</t>
  </si>
  <si>
    <t>Revenue</t>
  </si>
  <si>
    <t>Cost of Goods Sold</t>
  </si>
  <si>
    <t>Gross Profit</t>
  </si>
  <si>
    <t>Operating Expenses</t>
  </si>
  <si>
    <t>Operating Income</t>
  </si>
  <si>
    <t>Interest Expense</t>
  </si>
  <si>
    <t>Net Income</t>
  </si>
  <si>
    <t>Common-Size Income Statement - Vertical Analysis</t>
  </si>
  <si>
    <t>Year Ended December 31, 2024</t>
  </si>
  <si>
    <t>Amount</t>
  </si>
  <si>
    <t>% of Revenue</t>
  </si>
  <si>
    <t>Total Operating Expenses</t>
  </si>
  <si>
    <t>TechHassel Solutions Inc.</t>
  </si>
  <si>
    <t>Accounts</t>
  </si>
  <si>
    <t>Dollar Change</t>
  </si>
  <si>
    <t>Percentage Change</t>
  </si>
  <si>
    <t>Increase (Decrease)</t>
  </si>
  <si>
    <t xml:space="preserve"> Salaries &amp; Wages</t>
  </si>
  <si>
    <t xml:space="preserve"> Rent Expense</t>
  </si>
  <si>
    <t xml:space="preserve"> Marketing</t>
  </si>
  <si>
    <t xml:space="preserve"> Utilities</t>
  </si>
  <si>
    <t xml:space="preserve"> Other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</si>
</sst>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2" fillId="0" borderId="0" xfId="1" applyNumberFormat="1" applyFont="1"/>
    <xf numFmtId="10" fontId="2" fillId="0" borderId="0" xfId="0" applyNumberFormat="1" applyFont="1"/>
    <xf numFmtId="164" fontId="3" fillId="0" borderId="2" xfId="1" applyNumberFormat="1" applyFont="1" applyBorder="1"/>
    <xf numFmtId="164" fontId="3" fillId="0" borderId="3" xfId="1" applyNumberFormat="1" applyFont="1" applyBorder="1"/>
    <xf numFmtId="0" fontId="2" fillId="0" borderId="0" xfId="1" applyNumberFormat="1" applyFont="1" applyBorder="1"/>
    <xf numFmtId="165" fontId="2" fillId="0" borderId="0" xfId="2" applyNumberFormat="1" applyFont="1" applyBorder="1"/>
    <xf numFmtId="165" fontId="2" fillId="0" borderId="0" xfId="2" applyNumberFormat="1" applyFont="1"/>
    <xf numFmtId="165" fontId="2" fillId="0" borderId="4" xfId="2" applyNumberFormat="1" applyFont="1" applyBorder="1"/>
    <xf numFmtId="0" fontId="3" fillId="0" borderId="0" xfId="0" applyFont="1"/>
    <xf numFmtId="10" fontId="3" fillId="0" borderId="0" xfId="0" applyNumberFormat="1" applyFont="1"/>
    <xf numFmtId="165" fontId="3" fillId="0" borderId="0" xfId="2" applyNumberFormat="1" applyFont="1"/>
    <xf numFmtId="165" fontId="3" fillId="0" borderId="1" xfId="2" applyNumberFormat="1" applyFont="1" applyBorder="1"/>
    <xf numFmtId="165" fontId="3" fillId="0" borderId="0" xfId="2" applyNumberFormat="1" applyFont="1" applyBorder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10" fontId="2" fillId="0" borderId="4" xfId="0" applyNumberFormat="1" applyFont="1" applyBorder="1"/>
    <xf numFmtId="10" fontId="3" fillId="0" borderId="3" xfId="0" applyNumberFormat="1" applyFont="1" applyBorder="1"/>
    <xf numFmtId="10" fontId="3" fillId="0" borderId="2" xfId="0" applyNumberFormat="1" applyFont="1" applyBorder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09CA-41A1-439F-ABEA-A6CB1C32951E}">
  <dimension ref="A1:E13"/>
  <sheetViews>
    <sheetView tabSelected="1" workbookViewId="0">
      <selection activeCell="F10" sqref="F10"/>
    </sheetView>
  </sheetViews>
  <sheetFormatPr defaultColWidth="19.42578125" defaultRowHeight="15.75" x14ac:dyDescent="0.25"/>
  <cols>
    <col min="1" max="1" width="24.140625" style="1" customWidth="1"/>
    <col min="2" max="5" width="19.42578125" style="1"/>
    <col min="6" max="6" width="46" style="1" customWidth="1"/>
    <col min="7" max="16384" width="19.42578125" style="1"/>
  </cols>
  <sheetData>
    <row r="1" spans="1:5" x14ac:dyDescent="0.25">
      <c r="A1" s="24" t="s">
        <v>0</v>
      </c>
      <c r="B1" s="24"/>
      <c r="C1" s="24"/>
      <c r="D1" s="24"/>
      <c r="E1" s="24"/>
    </row>
    <row r="2" spans="1:5" x14ac:dyDescent="0.25">
      <c r="A2" s="24" t="s">
        <v>1</v>
      </c>
      <c r="B2" s="24"/>
      <c r="C2" s="24"/>
      <c r="D2" s="24"/>
      <c r="E2" s="24"/>
    </row>
    <row r="3" spans="1:5" x14ac:dyDescent="0.25">
      <c r="A3" s="24" t="s">
        <v>2</v>
      </c>
      <c r="B3" s="24"/>
      <c r="C3" s="24"/>
      <c r="D3" s="24"/>
      <c r="E3" s="24"/>
    </row>
    <row r="4" spans="1:5" x14ac:dyDescent="0.25">
      <c r="A4" s="16"/>
      <c r="B4" s="16"/>
      <c r="C4" s="16"/>
      <c r="D4" s="24" t="s">
        <v>19</v>
      </c>
      <c r="E4" s="24"/>
    </row>
    <row r="5" spans="1:5" x14ac:dyDescent="0.25">
      <c r="A5" s="17" t="s">
        <v>16</v>
      </c>
      <c r="B5" s="17">
        <v>2024</v>
      </c>
      <c r="C5" s="17">
        <v>2023</v>
      </c>
      <c r="D5" s="17" t="s">
        <v>17</v>
      </c>
      <c r="E5" s="17" t="s">
        <v>18</v>
      </c>
    </row>
    <row r="6" spans="1:5" x14ac:dyDescent="0.25">
      <c r="A6" s="1" t="s">
        <v>3</v>
      </c>
      <c r="B6" s="2">
        <v>500000</v>
      </c>
      <c r="C6" s="2">
        <v>425000</v>
      </c>
      <c r="D6" s="2">
        <f>B6-C6</f>
        <v>75000</v>
      </c>
      <c r="E6" s="3">
        <f>(B6-C6)/C6</f>
        <v>0.17647058823529413</v>
      </c>
    </row>
    <row r="7" spans="1:5" x14ac:dyDescent="0.25">
      <c r="A7" s="1" t="s">
        <v>4</v>
      </c>
      <c r="B7" s="8">
        <v>200000</v>
      </c>
      <c r="C7" s="9">
        <v>180000</v>
      </c>
      <c r="D7" s="9">
        <f t="shared" ref="D7:D12" si="0">B7-C7</f>
        <v>20000</v>
      </c>
      <c r="E7" s="20">
        <f t="shared" ref="E7:E12" si="1">(B7-C7)/C7</f>
        <v>0.1111111111111111</v>
      </c>
    </row>
    <row r="8" spans="1:5" x14ac:dyDescent="0.25">
      <c r="A8" s="10" t="s">
        <v>5</v>
      </c>
      <c r="B8" s="13">
        <v>300000</v>
      </c>
      <c r="C8" s="14">
        <v>245000</v>
      </c>
      <c r="D8" s="12">
        <f t="shared" si="0"/>
        <v>55000</v>
      </c>
      <c r="E8" s="11">
        <f t="shared" si="1"/>
        <v>0.22448979591836735</v>
      </c>
    </row>
    <row r="9" spans="1:5" x14ac:dyDescent="0.25">
      <c r="A9" s="1" t="s">
        <v>6</v>
      </c>
      <c r="B9" s="8">
        <v>150000</v>
      </c>
      <c r="C9" s="7">
        <v>135000</v>
      </c>
      <c r="D9" s="8">
        <f t="shared" si="0"/>
        <v>15000</v>
      </c>
      <c r="E9" s="3">
        <f t="shared" si="1"/>
        <v>0.1111111111111111</v>
      </c>
    </row>
    <row r="10" spans="1:5" x14ac:dyDescent="0.25">
      <c r="A10" s="1" t="s">
        <v>7</v>
      </c>
      <c r="B10" s="8">
        <v>150000</v>
      </c>
      <c r="C10" s="7">
        <v>110000</v>
      </c>
      <c r="D10" s="8">
        <f t="shared" si="0"/>
        <v>40000</v>
      </c>
      <c r="E10" s="3">
        <f t="shared" si="1"/>
        <v>0.36363636363636365</v>
      </c>
    </row>
    <row r="11" spans="1:5" x14ac:dyDescent="0.25">
      <c r="A11" s="1" t="s">
        <v>8</v>
      </c>
      <c r="B11" s="8">
        <v>5000</v>
      </c>
      <c r="C11" s="6">
        <v>6000</v>
      </c>
      <c r="D11" s="8">
        <f t="shared" si="0"/>
        <v>-1000</v>
      </c>
      <c r="E11" s="20">
        <f t="shared" si="1"/>
        <v>-0.16666666666666666</v>
      </c>
    </row>
    <row r="12" spans="1:5" ht="16.5" thickBot="1" x14ac:dyDescent="0.3">
      <c r="A12" s="10" t="s">
        <v>9</v>
      </c>
      <c r="B12" s="4">
        <v>145000</v>
      </c>
      <c r="C12" s="4">
        <v>104000</v>
      </c>
      <c r="D12" s="4">
        <f t="shared" si="0"/>
        <v>41000</v>
      </c>
      <c r="E12" s="21">
        <f t="shared" si="1"/>
        <v>0.39423076923076922</v>
      </c>
    </row>
    <row r="13" spans="1:5" ht="16.5" thickTop="1" x14ac:dyDescent="0.25"/>
  </sheetData>
  <mergeCells count="4">
    <mergeCell ref="D4:E4"/>
    <mergeCell ref="A1:E1"/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810B-2117-4045-91F4-1A8040CEF0A4}">
  <dimension ref="A1:F19"/>
  <sheetViews>
    <sheetView workbookViewId="0">
      <selection activeCell="G7" sqref="G7"/>
    </sheetView>
  </sheetViews>
  <sheetFormatPr defaultColWidth="40" defaultRowHeight="15.75" x14ac:dyDescent="0.25"/>
  <cols>
    <col min="1" max="1" width="50.5703125" style="1" customWidth="1"/>
    <col min="2" max="2" width="17.85546875" style="1" customWidth="1"/>
    <col min="3" max="3" width="22.28515625" style="1" customWidth="1"/>
    <col min="4" max="4" width="1.5703125" style="1" customWidth="1"/>
    <col min="5" max="5" width="23.85546875" style="1" customWidth="1"/>
    <col min="6" max="6" width="21.5703125" style="1" customWidth="1"/>
    <col min="7" max="16384" width="40" style="1"/>
  </cols>
  <sheetData>
    <row r="1" spans="1:6" x14ac:dyDescent="0.25">
      <c r="A1" s="17" t="s">
        <v>10</v>
      </c>
      <c r="B1" s="24" t="s">
        <v>0</v>
      </c>
      <c r="C1" s="24"/>
      <c r="D1" s="18"/>
      <c r="E1" s="24" t="s">
        <v>15</v>
      </c>
      <c r="F1" s="24"/>
    </row>
    <row r="2" spans="1:6" x14ac:dyDescent="0.25">
      <c r="A2" s="17" t="s">
        <v>11</v>
      </c>
      <c r="B2" s="17"/>
      <c r="C2" s="17"/>
      <c r="D2" s="19"/>
      <c r="E2" s="17"/>
      <c r="F2" s="17"/>
    </row>
    <row r="3" spans="1:6" ht="4.5" customHeight="1" x14ac:dyDescent="0.25"/>
    <row r="4" spans="1:6" x14ac:dyDescent="0.25">
      <c r="A4" s="17" t="s">
        <v>16</v>
      </c>
      <c r="B4" s="15" t="s">
        <v>12</v>
      </c>
      <c r="C4" s="15" t="s">
        <v>13</v>
      </c>
      <c r="D4" s="17"/>
      <c r="E4" s="15" t="s">
        <v>12</v>
      </c>
      <c r="F4" s="15" t="s">
        <v>13</v>
      </c>
    </row>
    <row r="5" spans="1:6" x14ac:dyDescent="0.25">
      <c r="A5" s="1" t="s">
        <v>3</v>
      </c>
      <c r="B5" s="2">
        <v>500000</v>
      </c>
      <c r="C5" s="3">
        <f>B5/$B$5</f>
        <v>1</v>
      </c>
      <c r="D5" s="3"/>
      <c r="E5" s="2">
        <v>1300000</v>
      </c>
      <c r="F5" s="3">
        <f>E5/$E$5</f>
        <v>1</v>
      </c>
    </row>
    <row r="6" spans="1:6" x14ac:dyDescent="0.25">
      <c r="A6" s="1" t="s">
        <v>4</v>
      </c>
      <c r="B6" s="8">
        <v>200000</v>
      </c>
      <c r="C6" s="20">
        <f>B6/$B$5</f>
        <v>0.4</v>
      </c>
      <c r="D6" s="3"/>
      <c r="E6" s="9">
        <v>530000</v>
      </c>
      <c r="F6" s="20">
        <f t="shared" ref="F6:F7" si="0">E6/$E$5</f>
        <v>0.40769230769230769</v>
      </c>
    </row>
    <row r="7" spans="1:6" x14ac:dyDescent="0.25">
      <c r="A7" s="10" t="s">
        <v>5</v>
      </c>
      <c r="B7" s="13">
        <f>B5-B6</f>
        <v>300000</v>
      </c>
      <c r="C7" s="11">
        <f>B7/$B$5</f>
        <v>0.6</v>
      </c>
      <c r="D7" s="11"/>
      <c r="E7" s="12">
        <f>E5-E6</f>
        <v>770000</v>
      </c>
      <c r="F7" s="11">
        <f t="shared" si="0"/>
        <v>0.59230769230769231</v>
      </c>
    </row>
    <row r="8" spans="1:6" x14ac:dyDescent="0.25">
      <c r="B8" s="2"/>
      <c r="E8" s="2"/>
    </row>
    <row r="9" spans="1:6" x14ac:dyDescent="0.25">
      <c r="A9" s="23" t="s">
        <v>20</v>
      </c>
      <c r="B9" s="8">
        <v>80000</v>
      </c>
      <c r="C9" s="3">
        <f>B9/$B$5</f>
        <v>0.16</v>
      </c>
      <c r="D9" s="3"/>
      <c r="E9" s="8">
        <v>100000</v>
      </c>
      <c r="F9" s="3">
        <f>E9/$E$5</f>
        <v>7.6923076923076927E-2</v>
      </c>
    </row>
    <row r="10" spans="1:6" x14ac:dyDescent="0.25">
      <c r="A10" s="23" t="s">
        <v>21</v>
      </c>
      <c r="B10" s="8">
        <v>30000</v>
      </c>
      <c r="C10" s="3">
        <f>B10/$B$5</f>
        <v>0.06</v>
      </c>
      <c r="D10" s="3"/>
      <c r="E10" s="8">
        <v>50000</v>
      </c>
      <c r="F10" s="3">
        <f t="shared" ref="F10:F13" si="1">E10/$E$5</f>
        <v>3.8461538461538464E-2</v>
      </c>
    </row>
    <row r="11" spans="1:6" x14ac:dyDescent="0.25">
      <c r="A11" s="23" t="s">
        <v>22</v>
      </c>
      <c r="B11" s="8">
        <v>25000</v>
      </c>
      <c r="C11" s="3">
        <f t="shared" ref="C11:C13" si="2">B11/$B$5</f>
        <v>0.05</v>
      </c>
      <c r="D11" s="3"/>
      <c r="E11" s="8">
        <v>45000</v>
      </c>
      <c r="F11" s="3">
        <f t="shared" si="1"/>
        <v>3.4615384615384617E-2</v>
      </c>
    </row>
    <row r="12" spans="1:6" x14ac:dyDescent="0.25">
      <c r="A12" s="23" t="s">
        <v>23</v>
      </c>
      <c r="B12" s="8">
        <v>8000</v>
      </c>
      <c r="C12" s="3">
        <f t="shared" si="2"/>
        <v>1.6E-2</v>
      </c>
      <c r="D12" s="3"/>
      <c r="E12" s="8">
        <v>18000</v>
      </c>
      <c r="F12" s="3">
        <f t="shared" si="1"/>
        <v>1.3846153846153847E-2</v>
      </c>
    </row>
    <row r="13" spans="1:6" x14ac:dyDescent="0.25">
      <c r="A13" s="23" t="s">
        <v>24</v>
      </c>
      <c r="B13" s="8">
        <v>7000</v>
      </c>
      <c r="C13" s="20">
        <f t="shared" si="2"/>
        <v>1.4E-2</v>
      </c>
      <c r="D13" s="3"/>
      <c r="E13" s="9">
        <v>7000</v>
      </c>
      <c r="F13" s="20">
        <f t="shared" si="1"/>
        <v>5.3846153846153844E-3</v>
      </c>
    </row>
    <row r="14" spans="1:6" x14ac:dyDescent="0.25">
      <c r="A14" s="10" t="s">
        <v>14</v>
      </c>
      <c r="B14" s="13">
        <f>SUM(B9:B13)</f>
        <v>150000</v>
      </c>
      <c r="C14" s="11">
        <f>B14/$B$5</f>
        <v>0.3</v>
      </c>
      <c r="D14" s="11"/>
      <c r="E14" s="12">
        <f>SUM(E9:E13)</f>
        <v>220000</v>
      </c>
      <c r="F14" s="11">
        <f>E14/$E$5</f>
        <v>0.16923076923076924</v>
      </c>
    </row>
    <row r="15" spans="1:6" x14ac:dyDescent="0.25">
      <c r="B15" s="2"/>
      <c r="E15" s="8"/>
    </row>
    <row r="16" spans="1:6" x14ac:dyDescent="0.25">
      <c r="A16" s="1" t="s">
        <v>7</v>
      </c>
      <c r="B16" s="8">
        <f>B7-B14</f>
        <v>150000</v>
      </c>
      <c r="C16" s="3">
        <f>B16/$B$5</f>
        <v>0.3</v>
      </c>
      <c r="D16" s="3"/>
      <c r="E16" s="8">
        <f>E7-E14</f>
        <v>550000</v>
      </c>
      <c r="F16" s="3">
        <f>E16/$E$5</f>
        <v>0.42307692307692307</v>
      </c>
    </row>
    <row r="17" spans="1:6" x14ac:dyDescent="0.25">
      <c r="A17" s="1" t="s">
        <v>8</v>
      </c>
      <c r="B17" s="8">
        <v>5000</v>
      </c>
      <c r="C17" s="20">
        <f>B17/$B$5</f>
        <v>0.01</v>
      </c>
      <c r="D17" s="3"/>
      <c r="E17" s="9">
        <v>5000</v>
      </c>
      <c r="F17" s="20">
        <f>E17/$E$5</f>
        <v>3.8461538461538464E-3</v>
      </c>
    </row>
    <row r="18" spans="1:6" ht="16.5" thickBot="1" x14ac:dyDescent="0.3">
      <c r="A18" s="10" t="s">
        <v>9</v>
      </c>
      <c r="B18" s="4">
        <f>B16-B17</f>
        <v>145000</v>
      </c>
      <c r="C18" s="22">
        <f>B18/$B$5</f>
        <v>0.28999999999999998</v>
      </c>
      <c r="D18" s="11"/>
      <c r="E18" s="5">
        <f>E16-E17</f>
        <v>545000</v>
      </c>
      <c r="F18" s="22">
        <f>E18/$E$5</f>
        <v>0.41923076923076924</v>
      </c>
    </row>
    <row r="19" spans="1:6" ht="16.5" thickTop="1" x14ac:dyDescent="0.25"/>
  </sheetData>
  <mergeCells count="2">
    <mergeCell ref="B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</vt:lpstr>
      <vt:lpstr>Vertical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Iftikhar</dc:creator>
  <cp:lastModifiedBy>Mariam Iftikhar</cp:lastModifiedBy>
  <dcterms:created xsi:type="dcterms:W3CDTF">2025-12-18T02:24:46Z</dcterms:created>
  <dcterms:modified xsi:type="dcterms:W3CDTF">2026-01-03T20:22:06Z</dcterms:modified>
</cp:coreProperties>
</file>