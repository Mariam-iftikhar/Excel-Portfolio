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ia\Downloads\"/>
    </mc:Choice>
  </mc:AlternateContent>
  <xr:revisionPtr revIDLastSave="0" documentId="13_ncr:1_{031893A5-0AB8-4BFD-B067-DCD18AC62927}" xr6:coauthVersionLast="47" xr6:coauthVersionMax="47" xr10:uidLastSave="{00000000-0000-0000-0000-000000000000}"/>
  <bookViews>
    <workbookView xWindow="-120" yWindow="-120" windowWidth="20730" windowHeight="11040" activeTab="4" xr2:uid="{DA064F0B-B4AC-4A4C-A587-8AAE44BFF4DA}"/>
  </bookViews>
  <sheets>
    <sheet name="INVOICE" sheetId="1" r:id="rId1"/>
    <sheet name="CHARTS OF ACCOUNTS" sheetId="2" r:id="rId2"/>
    <sheet name="GENERAL ENTRIES" sheetId="7" r:id="rId3"/>
    <sheet name="LEDGER" sheetId="3" r:id="rId4"/>
    <sheet name="TRIAL BALANCE" sheetId="8" r:id="rId5"/>
  </sheets>
  <definedNames>
    <definedName name="Slicer_Account">#N/A</definedName>
    <definedName name="Slicer_Account1">#N/A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1" i="7" l="1"/>
  <c r="E16" i="8"/>
  <c r="E19" i="7"/>
  <c r="E17" i="7"/>
  <c r="E5" i="8"/>
  <c r="E6" i="8"/>
  <c r="E7" i="8"/>
  <c r="E8" i="8"/>
  <c r="E9" i="8"/>
  <c r="E10" i="8"/>
  <c r="E11" i="8"/>
  <c r="E12" i="8"/>
  <c r="E13" i="8"/>
  <c r="E14" i="8"/>
  <c r="E15" i="8"/>
  <c r="E4" i="8"/>
  <c r="A2" i="3"/>
  <c r="E29" i="7"/>
  <c r="E11" i="7"/>
  <c r="E13" i="7"/>
  <c r="E15" i="7"/>
  <c r="E21" i="7"/>
  <c r="E23" i="7"/>
  <c r="E25" i="7"/>
  <c r="E27" i="7"/>
  <c r="E9" i="7"/>
  <c r="E7" i="7"/>
  <c r="E5" i="7"/>
  <c r="G7" i="1"/>
  <c r="G13" i="1" s="1"/>
  <c r="G8" i="1"/>
  <c r="G9" i="1"/>
  <c r="G10" i="1"/>
  <c r="G11" i="1"/>
  <c r="G12" i="1"/>
  <c r="G6" i="1"/>
  <c r="F7" i="1"/>
  <c r="F8" i="1"/>
  <c r="F9" i="1"/>
  <c r="F10" i="1"/>
  <c r="F11" i="1"/>
  <c r="F12" i="1"/>
  <c r="F6" i="1"/>
  <c r="F13" i="1"/>
  <c r="E7" i="1"/>
  <c r="E8" i="1"/>
  <c r="E9" i="1"/>
  <c r="E10" i="1"/>
  <c r="E11" i="1"/>
  <c r="E12" i="1"/>
  <c r="E6" i="1"/>
  <c r="D13" i="1"/>
  <c r="E13" i="1" l="1"/>
</calcChain>
</file>

<file path=xl/sharedStrings.xml><?xml version="1.0" encoding="utf-8"?>
<sst xmlns="http://schemas.openxmlformats.org/spreadsheetml/2006/main" count="229" uniqueCount="89">
  <si>
    <t>Quantity</t>
  </si>
  <si>
    <t>Rate</t>
  </si>
  <si>
    <t>GST</t>
  </si>
  <si>
    <t>Order Number</t>
  </si>
  <si>
    <t>Description</t>
  </si>
  <si>
    <t>Total Before GST</t>
  </si>
  <si>
    <t>Total After GST</t>
  </si>
  <si>
    <t>ED001</t>
  </si>
  <si>
    <t>ED002</t>
  </si>
  <si>
    <t>ED003</t>
  </si>
  <si>
    <t>ED004</t>
  </si>
  <si>
    <t>ED005</t>
  </si>
  <si>
    <t>ED006</t>
  </si>
  <si>
    <t>ED007</t>
  </si>
  <si>
    <t>TOTAL</t>
  </si>
  <si>
    <t>ARSENAULT PRIVATE LIMITED</t>
  </si>
  <si>
    <t>INVOICE/ ORDER/ BILL ENTRY</t>
  </si>
  <si>
    <t>For the Year June 2025</t>
  </si>
  <si>
    <t>Date</t>
  </si>
  <si>
    <t>Desc</t>
  </si>
  <si>
    <t>Account</t>
  </si>
  <si>
    <t>Debit</t>
  </si>
  <si>
    <t>Credit</t>
  </si>
  <si>
    <t>Details</t>
  </si>
  <si>
    <t>Entries:</t>
  </si>
  <si>
    <t>Started Business with 5,000,000/- with Cash on 1st July 2023.</t>
  </si>
  <si>
    <t>Deposited 1,500,000/- in Bank on 2nd July 2023.</t>
  </si>
  <si>
    <t>Inventory purchased of 500,000 from Multi Media on 7 July 2023.</t>
  </si>
  <si>
    <t>Expenses incurred in office of 45,000 on 16 July 2023.</t>
  </si>
  <si>
    <t>Enertainment Expenses incurred of 70,000 on 18 July 2023.</t>
  </si>
  <si>
    <t>Computer purchased for 250,000 On 27 July 2023.</t>
  </si>
  <si>
    <t>Salary Paid on 1st August for 110,000/-</t>
  </si>
  <si>
    <t>Rent paid to Mr. Abbas on 2nd Aug of 35,000/-</t>
  </si>
  <si>
    <t xml:space="preserve"> Inventory purchased of 750,000 on credit from Mega Mart on 5 July 2023.</t>
  </si>
  <si>
    <t xml:space="preserve">Sold inventory on Credit to Mr. Rehman of 400,000 on 10 July 2023. </t>
  </si>
  <si>
    <t>Sold inventory on Cash of 300,000 on 14 July 2023.</t>
  </si>
  <si>
    <t>Chart of Accounts</t>
  </si>
  <si>
    <t>Label - Financial Statements</t>
  </si>
  <si>
    <t>Assets</t>
  </si>
  <si>
    <t>Non-Current Assets</t>
  </si>
  <si>
    <t>Balance Sheet</t>
  </si>
  <si>
    <t>Liabilities</t>
  </si>
  <si>
    <t>Current Assets</t>
  </si>
  <si>
    <t>Equity</t>
  </si>
  <si>
    <t>Non-Current Liabilities</t>
  </si>
  <si>
    <t>Expenses</t>
  </si>
  <si>
    <t>Current Liabilities</t>
  </si>
  <si>
    <t>Revenue</t>
  </si>
  <si>
    <t>Income Statements</t>
  </si>
  <si>
    <t>Account Categories</t>
  </si>
  <si>
    <t xml:space="preserve"> Sub Account</t>
  </si>
  <si>
    <t>For the Year 30 June 2025</t>
  </si>
  <si>
    <t>Inventory</t>
  </si>
  <si>
    <t>Mega Mart - Vendor</t>
  </si>
  <si>
    <t>Sale</t>
  </si>
  <si>
    <t>Mr. Rehman - Customer</t>
  </si>
  <si>
    <t>Office Supplies</t>
  </si>
  <si>
    <t>Entertainment Expenses</t>
  </si>
  <si>
    <t>Computer</t>
  </si>
  <si>
    <t>Salaries</t>
  </si>
  <si>
    <t>Rent</t>
  </si>
  <si>
    <t xml:space="preserve">Individual Account </t>
  </si>
  <si>
    <t>Cash</t>
  </si>
  <si>
    <t xml:space="preserve">Equity </t>
  </si>
  <si>
    <t>Bank</t>
  </si>
  <si>
    <t>Sub Account</t>
  </si>
  <si>
    <t xml:space="preserve"> Current Assets</t>
  </si>
  <si>
    <t xml:space="preserve"> Equity</t>
  </si>
  <si>
    <t xml:space="preserve"> Established Business</t>
  </si>
  <si>
    <t xml:space="preserve"> Cash Deposited into Bank </t>
  </si>
  <si>
    <t xml:space="preserve"> Cash Deposited into Bank</t>
  </si>
  <si>
    <t xml:space="preserve"> Inventory Purchased</t>
  </si>
  <si>
    <t xml:space="preserve"> Inventory Sold</t>
  </si>
  <si>
    <t xml:space="preserve"> Expenses Incurred</t>
  </si>
  <si>
    <t xml:space="preserve"> Entertainment Expenses</t>
  </si>
  <si>
    <t xml:space="preserve"> Computer Purchased</t>
  </si>
  <si>
    <t>Salaries Paid</t>
  </si>
  <si>
    <t>Rent Paid</t>
  </si>
  <si>
    <t>Grand Total</t>
  </si>
  <si>
    <t>Sum of Debit</t>
  </si>
  <si>
    <t>Sum of Credit</t>
  </si>
  <si>
    <t>LEDGER</t>
  </si>
  <si>
    <t>Sum of Sum of Balance</t>
  </si>
  <si>
    <t>TRIAL BALANCE</t>
  </si>
  <si>
    <t>Cost of Goods Sold</t>
  </si>
  <si>
    <t>Inventory Adjustment</t>
  </si>
  <si>
    <t>Tax Adj</t>
  </si>
  <si>
    <t>Tax</t>
  </si>
  <si>
    <t>Govt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</si>
</sst>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9" x14ac:knownFonts="1">
    <font>
      <sz val="11"/>
      <color theme="1"/>
      <name val="Calibri"/>
      <family val="2"/>
      <scheme val="minor"/>
    </font>
    <font>
      <sz val="11"/>
      <color theme="1"/>
      <name val="Calibri"/>
      <family val="2"/>
      <scheme val="minor"/>
    </font>
    <font>
      <sz val="8"/>
      <name val="Calibri"/>
      <family val="2"/>
      <scheme val="minor"/>
    </font>
    <font>
      <b/>
      <sz val="12"/>
      <color theme="1"/>
      <name val="Times New Roman"/>
      <family val="1"/>
    </font>
    <font>
      <sz val="12"/>
      <color theme="1"/>
      <name val="Times New Roman"/>
      <family val="1"/>
    </font>
    <font>
      <b/>
      <sz val="12"/>
      <color theme="2"/>
      <name val="Times New Roman"/>
      <family val="1"/>
    </font>
    <font>
      <sz val="11"/>
      <color theme="1"/>
      <name val="Times New Roman"/>
      <family val="1"/>
    </font>
    <font>
      <sz val="14"/>
      <color theme="1"/>
      <name val="Times New Roman"/>
      <family val="1"/>
    </font>
    <font>
      <sz val="12"/>
      <color theme="2"/>
      <name val="Times New Roman"/>
      <family val="1"/>
    </font>
  </fonts>
  <fills count="6">
    <fill>
      <patternFill patternType="none"/>
    </fill>
    <fill>
      <patternFill patternType="gray125"/>
    </fill>
    <fill>
      <patternFill patternType="solid">
        <fgColor theme="9" tint="0.39997558519241921"/>
        <bgColor indexed="64"/>
      </patternFill>
    </fill>
    <fill>
      <patternFill patternType="solid">
        <fgColor theme="7" tint="0.39997558519241921"/>
        <bgColor indexed="64"/>
      </patternFill>
    </fill>
    <fill>
      <patternFill patternType="solid">
        <fgColor theme="8" tint="-0.499984740745262"/>
        <bgColor indexed="64"/>
      </patternFill>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4" fillId="0" borderId="0" xfId="0" applyFont="1"/>
    <xf numFmtId="0" fontId="3" fillId="0" borderId="1" xfId="0" applyFont="1" applyBorder="1"/>
    <xf numFmtId="0" fontId="4" fillId="0" borderId="1" xfId="0" applyFont="1" applyBorder="1"/>
    <xf numFmtId="44" fontId="4" fillId="0" borderId="1" xfId="0" applyNumberFormat="1" applyFont="1" applyBorder="1"/>
    <xf numFmtId="44" fontId="3" fillId="0" borderId="1" xfId="0" applyNumberFormat="1" applyFont="1" applyBorder="1"/>
    <xf numFmtId="0" fontId="3" fillId="3" borderId="1" xfId="0" applyFont="1" applyFill="1" applyBorder="1"/>
    <xf numFmtId="9" fontId="3" fillId="3" borderId="1" xfId="1" applyFont="1" applyFill="1" applyBorder="1"/>
    <xf numFmtId="0" fontId="6" fillId="0" borderId="0" xfId="0" applyFont="1"/>
    <xf numFmtId="15" fontId="4" fillId="0" borderId="0" xfId="0" applyNumberFormat="1" applyFont="1"/>
    <xf numFmtId="44" fontId="4" fillId="0" borderId="0" xfId="0" applyNumberFormat="1" applyFont="1"/>
    <xf numFmtId="0" fontId="7" fillId="0" borderId="0" xfId="0" applyFont="1"/>
    <xf numFmtId="0" fontId="8" fillId="4" borderId="0" xfId="0" applyFont="1" applyFill="1"/>
    <xf numFmtId="0" fontId="3" fillId="0" borderId="1" xfId="0" applyFont="1" applyBorder="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5" fillId="4" borderId="0" xfId="0" applyFont="1" applyFill="1" applyAlignment="1">
      <alignment horizontal="center"/>
    </xf>
    <xf numFmtId="0" fontId="4" fillId="0" borderId="0" xfId="0" applyFont="1" applyAlignment="1">
      <alignment horizontal="center"/>
    </xf>
    <xf numFmtId="0" fontId="8" fillId="5" borderId="0" xfId="0" applyFont="1" applyFill="1" applyAlignment="1">
      <alignment horizontal="center"/>
    </xf>
    <xf numFmtId="0" fontId="4" fillId="0" borderId="0" xfId="0" pivotButton="1" applyFont="1"/>
    <xf numFmtId="37" fontId="4" fillId="0" borderId="0" xfId="0" applyNumberFormat="1" applyFont="1"/>
  </cellXfs>
  <cellStyles count="2">
    <cellStyle name="Normal" xfId="0" builtinId="0"/>
    <cellStyle name="Percent" xfId="1" builtinId="5"/>
  </cellStyles>
  <dxfs count="63">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34" formatCode="_(&quot;$&quot;* #,##0.00_);_(&quot;$&quot;* \(#,##0.00\);_(&quot;$&quot;* &quot;-&quot;??_);_(@_)"/>
    </dxf>
    <dxf>
      <font>
        <b val="0"/>
        <i val="0"/>
        <strike val="0"/>
        <condense val="0"/>
        <extend val="0"/>
        <outline val="0"/>
        <shadow val="0"/>
        <u val="none"/>
        <vertAlign val="baseline"/>
        <sz val="12"/>
        <color theme="1"/>
        <name val="Times New Roman"/>
        <family val="1"/>
        <scheme val="none"/>
      </font>
      <numFmt numFmtId="34" formatCode="_(&quot;$&quot;* #,##0.00_);_(&quot;$&quot;* \(#,##0.00\);_(&quot;$&quot;* &quot;-&quot;??_);_(@_)"/>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20" formatCode="d\-mmm\-yy"/>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2"/>
        <name val="Times New Roman"/>
        <family val="1"/>
        <scheme val="none"/>
      </font>
      <fill>
        <patternFill patternType="solid">
          <fgColor indexed="64"/>
          <bgColor theme="8"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7</xdr:col>
      <xdr:colOff>161925</xdr:colOff>
      <xdr:row>1</xdr:row>
      <xdr:rowOff>142875</xdr:rowOff>
    </xdr:from>
    <xdr:to>
      <xdr:col>10</xdr:col>
      <xdr:colOff>161925</xdr:colOff>
      <xdr:row>14</xdr:row>
      <xdr:rowOff>66675</xdr:rowOff>
    </xdr:to>
    <mc:AlternateContent xmlns:mc="http://schemas.openxmlformats.org/markup-compatibility/2006" xmlns:a14="http://schemas.microsoft.com/office/drawing/2010/main">
      <mc:Choice Requires="a14">
        <xdr:graphicFrame macro="">
          <xdr:nvGraphicFramePr>
            <xdr:cNvPr id="2" name="Account">
              <a:extLst>
                <a:ext uri="{FF2B5EF4-FFF2-40B4-BE49-F238E27FC236}">
                  <a16:creationId xmlns:a16="http://schemas.microsoft.com/office/drawing/2014/main" id="{37E21390-EB82-7557-9303-C6B1D2B964B8}"/>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9382125" y="333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1461597</xdr:colOff>
      <xdr:row>3</xdr:row>
      <xdr:rowOff>9347</xdr:rowOff>
    </xdr:from>
    <xdr:to>
      <xdr:col>8</xdr:col>
      <xdr:colOff>108513</xdr:colOff>
      <xdr:row>15</xdr:row>
      <xdr:rowOff>142875</xdr:rowOff>
    </xdr:to>
    <mc:AlternateContent xmlns:mc="http://schemas.openxmlformats.org/markup-compatibility/2006" xmlns:a14="http://schemas.microsoft.com/office/drawing/2010/main">
      <mc:Choice Requires="a14">
        <xdr:graphicFrame macro="">
          <xdr:nvGraphicFramePr>
            <xdr:cNvPr id="2" name="Account 1">
              <a:extLst>
                <a:ext uri="{FF2B5EF4-FFF2-40B4-BE49-F238E27FC236}">
                  <a16:creationId xmlns:a16="http://schemas.microsoft.com/office/drawing/2014/main" id="{43534D76-FF94-4AB5-980C-27A2BCEB59C7}"/>
                </a:ext>
              </a:extLst>
            </xdr:cNvPr>
            <xdr:cNvGraphicFramePr/>
          </xdr:nvGraphicFramePr>
          <xdr:xfrm>
            <a:off x="0" y="0"/>
            <a:ext cx="0" cy="0"/>
          </xdr:xfrm>
          <a:graphic>
            <a:graphicData uri="http://schemas.microsoft.com/office/drawing/2010/slicer">
              <sle:slicer xmlns:sle="http://schemas.microsoft.com/office/drawing/2010/slicer" name="Account 1"/>
            </a:graphicData>
          </a:graphic>
        </xdr:graphicFrame>
      </mc:Choice>
      <mc:Fallback xmlns="">
        <xdr:sp macro="" textlink="">
          <xdr:nvSpPr>
            <xdr:cNvPr id="0" name=""/>
            <xdr:cNvSpPr>
              <a:spLocks noTextEdit="1"/>
            </xdr:cNvSpPr>
          </xdr:nvSpPr>
          <xdr:spPr>
            <a:xfrm>
              <a:off x="9455476" y="623576"/>
              <a:ext cx="1815981" cy="248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m Iftikhar" refreshedDate="45850.636021180559" createdVersion="8" refreshedVersion="8" minRefreshableVersion="3" recordCount="28" xr:uid="{9139BF45-1055-4158-8996-DFE4C4828584}">
  <cacheSource type="worksheet">
    <worksheetSource name="Table1"/>
  </cacheSource>
  <cacheFields count="9">
    <cacheField name="Date" numFmtId="15">
      <sharedItems containsSemiMixedTypes="0" containsNonDate="0" containsDate="1" containsString="0" minDate="2025-07-01T00:00:00" maxDate="2025-08-03T00:00:00" count="12">
        <d v="2025-07-01T00:00:00"/>
        <d v="2025-07-02T00:00:00"/>
        <d v="2025-07-05T00:00:00"/>
        <d v="2025-07-07T00:00:00"/>
        <d v="2025-07-10T00:00:00"/>
        <d v="2025-07-14T00:00:00"/>
        <d v="2025-07-15T00:00:00"/>
        <d v="2025-07-16T00:00:00"/>
        <d v="2025-07-18T00:00:00"/>
        <d v="2025-07-27T00:00:00"/>
        <d v="2025-08-01T00:00:00"/>
        <d v="2025-08-02T00:00:00"/>
      </sharedItems>
      <fieldGroup par="7"/>
    </cacheField>
    <cacheField name="Desc" numFmtId="0">
      <sharedItems/>
    </cacheField>
    <cacheField name="Account" numFmtId="0">
      <sharedItems count="15">
        <s v="Cash"/>
        <s v="Equity "/>
        <s v="Bank"/>
        <s v="Inventory"/>
        <s v="Mega Mart - Vendor"/>
        <s v="Mr. Rehman - Customer"/>
        <s v="Sale"/>
        <s v="Cost of Goods Sold"/>
        <s v="Office Supplies"/>
        <s v="Entertainment Expenses"/>
        <s v="Computer"/>
        <s v="Salaries"/>
        <s v="Rent"/>
        <s v="Tax"/>
        <s v="Govt"/>
      </sharedItems>
    </cacheField>
    <cacheField name="Debit" numFmtId="44">
      <sharedItems containsString="0" containsBlank="1" containsNumber="1" containsInteger="1" minValue="35000" maxValue="5000000"/>
    </cacheField>
    <cacheField name="Credit" numFmtId="44">
      <sharedItems containsString="0" containsBlank="1" containsNumber="1" containsInteger="1" minValue="35000" maxValue="5000000"/>
    </cacheField>
    <cacheField name="Details" numFmtId="0">
      <sharedItems containsBlank="1"/>
    </cacheField>
    <cacheField name="Days (Date)" numFmtId="0" databaseField="0">
      <fieldGroup base="0">
        <rangePr groupBy="days" startDate="2025-07-01T00:00:00" endDate="2025-08-03T00:00:00"/>
        <groupItems count="368">
          <s v="&lt;7/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3/2025"/>
        </groupItems>
      </fieldGroup>
    </cacheField>
    <cacheField name="Months (Date)" numFmtId="0" databaseField="0">
      <fieldGroup base="0">
        <rangePr groupBy="months" startDate="2025-07-01T00:00:00" endDate="2025-08-03T00:00:00"/>
        <groupItems count="14">
          <s v="&lt;7/1/2025"/>
          <s v="Jan"/>
          <s v="Feb"/>
          <s v="Mar"/>
          <s v="Apr"/>
          <s v="May"/>
          <s v="Jun"/>
          <s v="Jul"/>
          <s v="Aug"/>
          <s v="Sep"/>
          <s v="Oct"/>
          <s v="Nov"/>
          <s v="Dec"/>
          <s v="&gt;8/3/2025"/>
        </groupItems>
      </fieldGroup>
    </cacheField>
    <cacheField name="Sum of Balance" numFmtId="0" formula="Debit-Credit" databaseField="0"/>
  </cacheFields>
  <extLst>
    <ext xmlns:x14="http://schemas.microsoft.com/office/spreadsheetml/2009/9/main" uri="{725AE2AE-9491-48be-B2B4-4EB974FC3084}">
      <x14:pivotCacheDefinition pivotCacheId="290603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s v=" Established Business"/>
    <x v="0"/>
    <n v="5000000"/>
    <m/>
    <s v="Started Business with 5,000,000/- with Cash on 1st July 2023."/>
  </r>
  <r>
    <x v="0"/>
    <s v=" Established Business"/>
    <x v="1"/>
    <m/>
    <n v="5000000"/>
    <m/>
  </r>
  <r>
    <x v="1"/>
    <s v=" Cash Deposited into Bank "/>
    <x v="2"/>
    <n v="1500000"/>
    <m/>
    <s v="Deposited 1,500,000/- in Bank on 2nd July 2023."/>
  </r>
  <r>
    <x v="1"/>
    <s v=" Cash Deposited into Bank"/>
    <x v="0"/>
    <m/>
    <n v="1500000"/>
    <m/>
  </r>
  <r>
    <x v="2"/>
    <s v=" Inventory Purchased"/>
    <x v="3"/>
    <n v="750000"/>
    <m/>
    <s v=" Inventory purchased of 750,000 on credit from Mega Mart on 5 July 2023."/>
  </r>
  <r>
    <x v="2"/>
    <s v=" Inventory Purchased"/>
    <x v="4"/>
    <m/>
    <n v="750000"/>
    <m/>
  </r>
  <r>
    <x v="3"/>
    <s v=" Inventory Purchased"/>
    <x v="3"/>
    <n v="500000"/>
    <m/>
    <s v="Inventory purchased of 500,000 from Multi Media on 7 July 2023."/>
  </r>
  <r>
    <x v="3"/>
    <s v=" Inventory Purchased"/>
    <x v="2"/>
    <m/>
    <n v="500000"/>
    <m/>
  </r>
  <r>
    <x v="4"/>
    <s v=" Inventory Sold"/>
    <x v="5"/>
    <n v="800000"/>
    <m/>
    <s v="Sold inventory on Credit to Mr. Rehman of 400,000 on 10 July 2023. "/>
  </r>
  <r>
    <x v="4"/>
    <s v=" Inventory Sold"/>
    <x v="6"/>
    <m/>
    <n v="800000"/>
    <m/>
  </r>
  <r>
    <x v="5"/>
    <s v=" Inventory Sold"/>
    <x v="0"/>
    <n v="425000"/>
    <m/>
    <s v="Sold inventory on Cash of 300,000 on 14 July 2023."/>
  </r>
  <r>
    <x v="5"/>
    <s v=" Inventory Sold"/>
    <x v="6"/>
    <m/>
    <n v="425000"/>
    <m/>
  </r>
  <r>
    <x v="6"/>
    <s v="Inventory Adjustment"/>
    <x v="7"/>
    <n v="290000"/>
    <m/>
    <m/>
  </r>
  <r>
    <x v="6"/>
    <s v="Inventory Adjustment"/>
    <x v="3"/>
    <m/>
    <n v="290000"/>
    <m/>
  </r>
  <r>
    <x v="6"/>
    <s v="Inventory Adjustment"/>
    <x v="7"/>
    <n v="200000"/>
    <m/>
    <m/>
  </r>
  <r>
    <x v="6"/>
    <s v="Inventory Adjustment"/>
    <x v="3"/>
    <m/>
    <n v="200000"/>
    <m/>
  </r>
  <r>
    <x v="7"/>
    <s v=" Expenses Incurred"/>
    <x v="8"/>
    <n v="45000"/>
    <m/>
    <s v="Expenses incurred in office of 45,000 on 16 July 2023."/>
  </r>
  <r>
    <x v="7"/>
    <s v=" Expenses Incurred"/>
    <x v="2"/>
    <m/>
    <n v="45000"/>
    <m/>
  </r>
  <r>
    <x v="8"/>
    <s v=" Entertainment Expenses"/>
    <x v="9"/>
    <n v="70000"/>
    <m/>
    <s v="Enertainment Expenses incurred of 70,000 on 18 July 2023."/>
  </r>
  <r>
    <x v="8"/>
    <s v=" Entertainment Expenses"/>
    <x v="2"/>
    <m/>
    <n v="70000"/>
    <m/>
  </r>
  <r>
    <x v="9"/>
    <s v=" Computer Purchased"/>
    <x v="10"/>
    <n v="250000"/>
    <m/>
    <s v="Computer purchased for 250,000 On 27 July 2023."/>
  </r>
  <r>
    <x v="9"/>
    <s v=" Computer Purchased"/>
    <x v="2"/>
    <m/>
    <n v="250000"/>
    <m/>
  </r>
  <r>
    <x v="10"/>
    <s v="Salaries Paid"/>
    <x v="11"/>
    <n v="110000"/>
    <m/>
    <s v="Salary Paid on 1st August for 110,000/-"/>
  </r>
  <r>
    <x v="10"/>
    <s v="Salaries Paid"/>
    <x v="2"/>
    <m/>
    <n v="110000"/>
    <m/>
  </r>
  <r>
    <x v="11"/>
    <s v="Rent Paid"/>
    <x v="12"/>
    <n v="35000"/>
    <m/>
    <s v="Rent paid to Mr. Abbas on 2nd Aug of 35,000/-"/>
  </r>
  <r>
    <x v="11"/>
    <s v="Rent Paid"/>
    <x v="2"/>
    <m/>
    <n v="35000"/>
    <m/>
  </r>
  <r>
    <x v="11"/>
    <s v="Tax Adj"/>
    <x v="13"/>
    <n v="142500"/>
    <m/>
    <m/>
  </r>
  <r>
    <x v="11"/>
    <s v="Tax Adj"/>
    <x v="14"/>
    <m/>
    <n v="1425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1B2710-1A45-4AF4-8BB8-BBF0E7D46D13}"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E30" firstHeaderRow="0" firstDataRow="1" firstDataCol="2"/>
  <pivotFields count="9">
    <pivotField axis="axisRow" compact="0" numFmtId="15" outline="0" showAll="0" defaultSubtotal="0">
      <items count="12">
        <item x="0"/>
        <item x="1"/>
        <item x="2"/>
        <item x="3"/>
        <item x="4"/>
        <item x="5"/>
        <item x="7"/>
        <item x="8"/>
        <item x="9"/>
        <item x="10"/>
        <item x="11"/>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5">
        <item x="2"/>
        <item x="0"/>
        <item x="10"/>
        <item x="9"/>
        <item x="1"/>
        <item x="3"/>
        <item x="4"/>
        <item x="5"/>
        <item x="8"/>
        <item x="12"/>
        <item x="11"/>
        <item x="6"/>
        <item x="7"/>
        <item x="13"/>
        <item x="14"/>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dataField="1" compact="0" outline="0" subtotalTop="0" dragToRow="0" dragToCol="0" dragToPage="0" showAll="0" defaultSubtotal="0">
      <extLst>
        <ext xmlns:x14="http://schemas.microsoft.com/office/spreadsheetml/2009/9/main" uri="{2946ED86-A175-432a-8AC1-64E0C546D7DE}">
          <x14:pivotField fillDownLabels="1"/>
        </ext>
      </extLst>
    </pivotField>
  </pivotFields>
  <rowFields count="2">
    <field x="0"/>
    <field x="2"/>
  </rowFields>
  <rowItems count="27">
    <i>
      <x/>
      <x v="1"/>
    </i>
    <i r="1">
      <x v="4"/>
    </i>
    <i>
      <x v="1"/>
      <x/>
    </i>
    <i r="1">
      <x v="1"/>
    </i>
    <i>
      <x v="2"/>
      <x v="5"/>
    </i>
    <i r="1">
      <x v="6"/>
    </i>
    <i>
      <x v="3"/>
      <x/>
    </i>
    <i r="1">
      <x v="5"/>
    </i>
    <i>
      <x v="4"/>
      <x v="7"/>
    </i>
    <i r="1">
      <x v="11"/>
    </i>
    <i>
      <x v="5"/>
      <x v="1"/>
    </i>
    <i r="1">
      <x v="11"/>
    </i>
    <i>
      <x v="6"/>
      <x/>
    </i>
    <i r="1">
      <x v="8"/>
    </i>
    <i>
      <x v="7"/>
      <x/>
    </i>
    <i r="1">
      <x v="3"/>
    </i>
    <i>
      <x v="8"/>
      <x/>
    </i>
    <i r="1">
      <x v="2"/>
    </i>
    <i>
      <x v="9"/>
      <x/>
    </i>
    <i r="1">
      <x v="10"/>
    </i>
    <i>
      <x v="10"/>
      <x/>
    </i>
    <i r="1">
      <x v="9"/>
    </i>
    <i r="1">
      <x v="13"/>
    </i>
    <i r="1">
      <x v="14"/>
    </i>
    <i>
      <x v="11"/>
      <x v="5"/>
    </i>
    <i r="1">
      <x v="12"/>
    </i>
    <i t="grand">
      <x/>
    </i>
  </rowItems>
  <colFields count="1">
    <field x="-2"/>
  </colFields>
  <colItems count="3">
    <i>
      <x/>
    </i>
    <i i="1">
      <x v="1"/>
    </i>
    <i i="2">
      <x v="2"/>
    </i>
  </colItems>
  <dataFields count="3">
    <dataField name="Sum of Debit" fld="3" baseField="2" baseItem="1" numFmtId="37"/>
    <dataField name="Sum of Credit" fld="4" baseField="2" baseItem="4" numFmtId="37"/>
    <dataField name="Sum of Sum of Balance" fld="8" baseField="0" baseItem="0" numFmtId="37"/>
  </dataFields>
  <formats count="37">
    <format dxfId="54">
      <pivotArea type="all" dataOnly="0" outline="0" fieldPosition="0"/>
    </format>
    <format dxfId="53">
      <pivotArea outline="0" collapsedLevelsAreSubtotals="1" fieldPosition="0"/>
    </format>
    <format dxfId="52">
      <pivotArea field="0" type="button" dataOnly="0" labelOnly="1" outline="0" axis="axisRow" fieldPosition="0"/>
    </format>
    <format dxfId="51">
      <pivotArea field="2" type="button" dataOnly="0" labelOnly="1" outline="0" axis="axisRow" fieldPosition="1"/>
    </format>
    <format dxfId="50">
      <pivotArea dataOnly="0" labelOnly="1" outline="0" fieldPosition="0">
        <references count="1">
          <reference field="0" count="0"/>
        </references>
      </pivotArea>
    </format>
    <format dxfId="49">
      <pivotArea dataOnly="0" labelOnly="1" grandRow="1" outline="0" fieldPosition="0"/>
    </format>
    <format dxfId="48">
      <pivotArea dataOnly="0" labelOnly="1" outline="0" fieldPosition="0">
        <references count="2">
          <reference field="0" count="1" selected="0">
            <x v="0"/>
          </reference>
          <reference field="2" count="2">
            <x v="1"/>
            <x v="4"/>
          </reference>
        </references>
      </pivotArea>
    </format>
    <format dxfId="47">
      <pivotArea dataOnly="0" labelOnly="1" outline="0" fieldPosition="0">
        <references count="2">
          <reference field="0" count="1" selected="0">
            <x v="1"/>
          </reference>
          <reference field="2" count="2">
            <x v="0"/>
            <x v="1"/>
          </reference>
        </references>
      </pivotArea>
    </format>
    <format dxfId="46">
      <pivotArea dataOnly="0" labelOnly="1" outline="0" fieldPosition="0">
        <references count="2">
          <reference field="0" count="1" selected="0">
            <x v="2"/>
          </reference>
          <reference field="2" count="2">
            <x v="5"/>
            <x v="6"/>
          </reference>
        </references>
      </pivotArea>
    </format>
    <format dxfId="45">
      <pivotArea dataOnly="0" labelOnly="1" outline="0" fieldPosition="0">
        <references count="2">
          <reference field="0" count="1" selected="0">
            <x v="3"/>
          </reference>
          <reference field="2" count="2">
            <x v="0"/>
            <x v="5"/>
          </reference>
        </references>
      </pivotArea>
    </format>
    <format dxfId="44">
      <pivotArea dataOnly="0" labelOnly="1" outline="0" fieldPosition="0">
        <references count="2">
          <reference field="0" count="1" selected="0">
            <x v="4"/>
          </reference>
          <reference field="2" count="2">
            <x v="7"/>
            <x v="11"/>
          </reference>
        </references>
      </pivotArea>
    </format>
    <format dxfId="43">
      <pivotArea dataOnly="0" labelOnly="1" outline="0" fieldPosition="0">
        <references count="2">
          <reference field="0" count="1" selected="0">
            <x v="5"/>
          </reference>
          <reference field="2" count="2">
            <x v="1"/>
            <x v="11"/>
          </reference>
        </references>
      </pivotArea>
    </format>
    <format dxfId="42">
      <pivotArea dataOnly="0" labelOnly="1" outline="0" fieldPosition="0">
        <references count="2">
          <reference field="0" count="1" selected="0">
            <x v="6"/>
          </reference>
          <reference field="2" count="2">
            <x v="0"/>
            <x v="8"/>
          </reference>
        </references>
      </pivotArea>
    </format>
    <format dxfId="41">
      <pivotArea dataOnly="0" labelOnly="1" outline="0" fieldPosition="0">
        <references count="2">
          <reference field="0" count="1" selected="0">
            <x v="7"/>
          </reference>
          <reference field="2" count="2">
            <x v="0"/>
            <x v="3"/>
          </reference>
        </references>
      </pivotArea>
    </format>
    <format dxfId="40">
      <pivotArea dataOnly="0" labelOnly="1" outline="0" fieldPosition="0">
        <references count="2">
          <reference field="0" count="1" selected="0">
            <x v="8"/>
          </reference>
          <reference field="2" count="2">
            <x v="0"/>
            <x v="2"/>
          </reference>
        </references>
      </pivotArea>
    </format>
    <format dxfId="39">
      <pivotArea dataOnly="0" labelOnly="1" outline="0" fieldPosition="0">
        <references count="2">
          <reference field="0" count="1" selected="0">
            <x v="9"/>
          </reference>
          <reference field="2" count="2">
            <x v="0"/>
            <x v="10"/>
          </reference>
        </references>
      </pivotArea>
    </format>
    <format dxfId="38">
      <pivotArea dataOnly="0" labelOnly="1" outline="0" fieldPosition="0">
        <references count="2">
          <reference field="0" count="1" selected="0">
            <x v="10"/>
          </reference>
          <reference field="2" count="2">
            <x v="0"/>
            <x v="9"/>
          </reference>
        </references>
      </pivotArea>
    </format>
    <format dxfId="37">
      <pivotArea dataOnly="0" labelOnly="1" outline="0" fieldPosition="0">
        <references count="1">
          <reference field="4294967294" count="2">
            <x v="0"/>
            <x v="1"/>
          </reference>
        </references>
      </pivotArea>
    </format>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field="2" type="button" dataOnly="0" labelOnly="1" outline="0" axis="axisRow" fieldPosition="1"/>
    </format>
    <format dxfId="32">
      <pivotArea dataOnly="0" labelOnly="1" outline="0" fieldPosition="0">
        <references count="1">
          <reference field="0" count="0"/>
        </references>
      </pivotArea>
    </format>
    <format dxfId="31">
      <pivotArea dataOnly="0" labelOnly="1" grandRow="1" outline="0" fieldPosition="0"/>
    </format>
    <format dxfId="30">
      <pivotArea dataOnly="0" labelOnly="1" outline="0" fieldPosition="0">
        <references count="2">
          <reference field="0" count="1" selected="0">
            <x v="0"/>
          </reference>
          <reference field="2" count="2">
            <x v="1"/>
            <x v="4"/>
          </reference>
        </references>
      </pivotArea>
    </format>
    <format dxfId="29">
      <pivotArea dataOnly="0" labelOnly="1" outline="0" fieldPosition="0">
        <references count="2">
          <reference field="0" count="1" selected="0">
            <x v="1"/>
          </reference>
          <reference field="2" count="2">
            <x v="0"/>
            <x v="1"/>
          </reference>
        </references>
      </pivotArea>
    </format>
    <format dxfId="28">
      <pivotArea dataOnly="0" labelOnly="1" outline="0" fieldPosition="0">
        <references count="2">
          <reference field="0" count="1" selected="0">
            <x v="2"/>
          </reference>
          <reference field="2" count="2">
            <x v="5"/>
            <x v="6"/>
          </reference>
        </references>
      </pivotArea>
    </format>
    <format dxfId="27">
      <pivotArea dataOnly="0" labelOnly="1" outline="0" fieldPosition="0">
        <references count="2">
          <reference field="0" count="1" selected="0">
            <x v="3"/>
          </reference>
          <reference field="2" count="2">
            <x v="0"/>
            <x v="5"/>
          </reference>
        </references>
      </pivotArea>
    </format>
    <format dxfId="26">
      <pivotArea dataOnly="0" labelOnly="1" outline="0" fieldPosition="0">
        <references count="2">
          <reference field="0" count="1" selected="0">
            <x v="4"/>
          </reference>
          <reference field="2" count="2">
            <x v="7"/>
            <x v="11"/>
          </reference>
        </references>
      </pivotArea>
    </format>
    <format dxfId="25">
      <pivotArea dataOnly="0" labelOnly="1" outline="0" fieldPosition="0">
        <references count="2">
          <reference field="0" count="1" selected="0">
            <x v="5"/>
          </reference>
          <reference field="2" count="2">
            <x v="1"/>
            <x v="11"/>
          </reference>
        </references>
      </pivotArea>
    </format>
    <format dxfId="24">
      <pivotArea dataOnly="0" labelOnly="1" outline="0" fieldPosition="0">
        <references count="2">
          <reference field="0" count="1" selected="0">
            <x v="6"/>
          </reference>
          <reference field="2" count="2">
            <x v="0"/>
            <x v="8"/>
          </reference>
        </references>
      </pivotArea>
    </format>
    <format dxfId="23">
      <pivotArea dataOnly="0" labelOnly="1" outline="0" fieldPosition="0">
        <references count="2">
          <reference field="0" count="1" selected="0">
            <x v="7"/>
          </reference>
          <reference field="2" count="2">
            <x v="0"/>
            <x v="3"/>
          </reference>
        </references>
      </pivotArea>
    </format>
    <format dxfId="22">
      <pivotArea dataOnly="0" labelOnly="1" outline="0" fieldPosition="0">
        <references count="2">
          <reference field="0" count="1" selected="0">
            <x v="8"/>
          </reference>
          <reference field="2" count="2">
            <x v="0"/>
            <x v="2"/>
          </reference>
        </references>
      </pivotArea>
    </format>
    <format dxfId="21">
      <pivotArea dataOnly="0" labelOnly="1" outline="0" fieldPosition="0">
        <references count="2">
          <reference field="0" count="1" selected="0">
            <x v="9"/>
          </reference>
          <reference field="2" count="2">
            <x v="0"/>
            <x v="10"/>
          </reference>
        </references>
      </pivotArea>
    </format>
    <format dxfId="20">
      <pivotArea dataOnly="0" labelOnly="1" outline="0" fieldPosition="0">
        <references count="2">
          <reference field="0" count="1" selected="0">
            <x v="10"/>
          </reference>
          <reference field="2" count="4">
            <x v="0"/>
            <x v="9"/>
            <x v="13"/>
            <x v="14"/>
          </reference>
        </references>
      </pivotArea>
    </format>
    <format dxfId="19">
      <pivotArea dataOnly="0" labelOnly="1" outline="0" fieldPosition="0">
        <references count="2">
          <reference field="0" count="1" selected="0">
            <x v="11"/>
          </reference>
          <reference field="2" count="2">
            <x v="5"/>
            <x v="12"/>
          </reference>
        </references>
      </pivotArea>
    </format>
    <format dxfId="18">
      <pivotArea dataOnly="0" labelOnly="1" outline="0" fieldPosition="0">
        <references count="1">
          <reference field="4294967294" count="3">
            <x v="0"/>
            <x v="1"/>
            <x v="2"/>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BC20A9-3CB0-4EF4-9AEB-D8A9D4E53C00}"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D19" firstHeaderRow="0" firstDataRow="1" firstDataCol="1"/>
  <pivotFields count="9">
    <pivotField compact="0" numFmtId="15" outline="0" showAll="0" defaultSubtotal="0">
      <items count="12">
        <item x="0"/>
        <item x="1"/>
        <item x="2"/>
        <item x="3"/>
        <item x="4"/>
        <item x="5"/>
        <item x="7"/>
        <item x="8"/>
        <item x="9"/>
        <item x="10"/>
        <item x="11"/>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5">
        <item x="2"/>
        <item x="0"/>
        <item x="10"/>
        <item x="9"/>
        <item x="1"/>
        <item x="3"/>
        <item x="4"/>
        <item x="5"/>
        <item x="8"/>
        <item x="12"/>
        <item x="11"/>
        <item x="6"/>
        <item x="7"/>
        <item x="13"/>
        <item x="14"/>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dataField="1" compact="0" outline="0" subtotalTop="0" dragToRow="0" dragToCol="0" dragToPage="0" showAll="0" defaultSubtotal="0">
      <extLst>
        <ext xmlns:x14="http://schemas.microsoft.com/office/spreadsheetml/2009/9/main" uri="{2946ED86-A175-432a-8AC1-64E0C546D7DE}">
          <x14:pivotField fillDownLabels="1"/>
        </ext>
      </extLst>
    </pivotField>
  </pivotFields>
  <rowFields count="1">
    <field x="2"/>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Sum of Debit" fld="3" baseField="2" baseItem="1" numFmtId="37"/>
    <dataField name="Sum of Credit" fld="4" baseField="2" baseItem="4" numFmtId="37"/>
    <dataField name="Sum of Sum of Balance" fld="8" baseField="0" baseItem="0" numFmtId="37"/>
  </dataFields>
  <formats count="12">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outline="0" fieldPosition="0">
        <references count="1">
          <reference field="2" count="0"/>
        </references>
      </pivotArea>
    </format>
    <format dxfId="13">
      <pivotArea dataOnly="0" labelOnly="1" grandRow="1" outline="0" fieldPosition="0"/>
    </format>
    <format dxfId="12">
      <pivotArea dataOnly="0" labelOnly="1" outline="0" fieldPosition="0">
        <references count="1">
          <reference field="4294967294" count="3">
            <x v="0"/>
            <x v="1"/>
            <x v="2"/>
          </reference>
        </references>
      </pivotArea>
    </format>
    <format dxfId="11">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outline="0" fieldPosition="0">
        <references count="1">
          <reference field="2" count="0"/>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1C66DFD3-DA22-4FA5-8397-A8AD5F09BFE1}" sourceName="Account">
  <pivotTables>
    <pivotTable tabId="3" name="PivotTable1"/>
  </pivotTables>
  <data>
    <tabular pivotCacheId="290603918">
      <items count="15">
        <i x="2" s="1"/>
        <i x="0" s="1"/>
        <i x="10" s="1"/>
        <i x="7" s="1"/>
        <i x="9" s="1"/>
        <i x="1" s="1"/>
        <i x="14" s="1"/>
        <i x="3" s="1"/>
        <i x="4" s="1"/>
        <i x="5" s="1"/>
        <i x="8" s="1"/>
        <i x="12" s="1"/>
        <i x="11" s="1"/>
        <i x="6"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1" xr10:uid="{4D1C9C74-6D11-4349-A523-54F17EA85BAD}" sourceName="Account">
  <pivotTables>
    <pivotTable tabId="8" name="PivotTable1"/>
  </pivotTables>
  <data>
    <tabular pivotCacheId="290603918">
      <items count="15">
        <i x="2" s="1"/>
        <i x="0" s="1"/>
        <i x="10" s="1"/>
        <i x="7" s="1"/>
        <i x="9" s="1"/>
        <i x="1" s="1"/>
        <i x="14" s="1"/>
        <i x="3" s="1"/>
        <i x="4" s="1"/>
        <i x="5" s="1"/>
        <i x="8" s="1"/>
        <i x="12" s="1"/>
        <i x="11" s="1"/>
        <i x="6"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xr10:uid="{E7B02CE7-EA47-4533-8965-1DFBBC3BC5E8}" cache="Slicer_Account" caption="Accou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1" xr10:uid="{A546B014-8C0F-42CE-8490-E7794FFAB911}" cache="Slicer_Account1" caption="Accou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EFC0E5-7004-43CA-A7C0-5A90A1DC4FBE}" name="Table1" displayName="Table1" ref="A3:F31" totalsRowShown="0" headerRowDxfId="62" dataDxfId="61">
  <autoFilter ref="A3:F31" xr:uid="{4BEFC0E5-7004-43CA-A7C0-5A90A1DC4FBE}"/>
  <tableColumns count="6">
    <tableColumn id="1" xr3:uid="{636FDECC-D9D4-43B8-B765-C938FEFEDC8C}" name="Date" dataDxfId="60"/>
    <tableColumn id="2" xr3:uid="{FB48902F-33A0-4A4C-87B9-013560FFEA0A}" name="Desc" dataDxfId="59"/>
    <tableColumn id="3" xr3:uid="{CE239646-1BCB-4514-87FD-2BF5BAE2A151}" name="Account" dataDxfId="58"/>
    <tableColumn id="4" xr3:uid="{E794BC8E-BB00-4F7C-A881-0BBD5FDD714D}" name="Debit" dataDxfId="57"/>
    <tableColumn id="5" xr3:uid="{14286A08-A48B-462B-AE27-B75818E85E2B}" name="Credit" dataDxfId="56"/>
    <tableColumn id="6" xr3:uid="{795F67FE-0B37-4B75-8CAB-441646D1FF9D}" name="Details" dataDxfId="5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B0487-B3FA-4143-9725-B6B9895275D9}">
  <dimension ref="A1:J13"/>
  <sheetViews>
    <sheetView showGridLines="0" workbookViewId="0">
      <selection activeCell="B9" sqref="B9"/>
    </sheetView>
  </sheetViews>
  <sheetFormatPr defaultColWidth="20.28515625" defaultRowHeight="15.75" x14ac:dyDescent="0.25"/>
  <cols>
    <col min="1" max="7" width="20.28515625" style="1"/>
    <col min="8" max="9" width="9.42578125" style="1" customWidth="1"/>
    <col min="10" max="10" width="11" style="1" customWidth="1"/>
    <col min="11" max="16384" width="20.28515625" style="1"/>
  </cols>
  <sheetData>
    <row r="1" spans="1:10" x14ac:dyDescent="0.25">
      <c r="A1" s="14" t="s">
        <v>15</v>
      </c>
      <c r="B1" s="14"/>
      <c r="C1" s="14"/>
      <c r="D1" s="14"/>
      <c r="E1" s="14"/>
      <c r="F1" s="14"/>
      <c r="G1" s="14"/>
    </row>
    <row r="3" spans="1:10" x14ac:dyDescent="0.25">
      <c r="A3" s="15" t="s">
        <v>16</v>
      </c>
      <c r="B3" s="15"/>
      <c r="C3" s="15"/>
      <c r="D3" s="15"/>
      <c r="E3" s="15"/>
      <c r="F3" s="15"/>
      <c r="G3" s="15"/>
      <c r="I3" s="6" t="s">
        <v>2</v>
      </c>
      <c r="J3" s="7">
        <v>0.18</v>
      </c>
    </row>
    <row r="5" spans="1:10" x14ac:dyDescent="0.25">
      <c r="A5" s="2" t="s">
        <v>3</v>
      </c>
      <c r="B5" s="2" t="s">
        <v>4</v>
      </c>
      <c r="C5" s="2" t="s">
        <v>0</v>
      </c>
      <c r="D5" s="2" t="s">
        <v>1</v>
      </c>
      <c r="E5" s="2" t="s">
        <v>5</v>
      </c>
      <c r="F5" s="2" t="s">
        <v>2</v>
      </c>
      <c r="G5" s="2" t="s">
        <v>6</v>
      </c>
    </row>
    <row r="6" spans="1:10" ht="24" customHeight="1" x14ac:dyDescent="0.25">
      <c r="A6" s="3" t="s">
        <v>7</v>
      </c>
      <c r="B6" s="3"/>
      <c r="C6" s="4">
        <v>5</v>
      </c>
      <c r="D6" s="4">
        <v>1200</v>
      </c>
      <c r="E6" s="4">
        <f>C6*D6</f>
        <v>6000</v>
      </c>
      <c r="F6" s="4">
        <f>E6*$J$3</f>
        <v>1080</v>
      </c>
      <c r="G6" s="4">
        <f>E6+F6</f>
        <v>7080</v>
      </c>
    </row>
    <row r="7" spans="1:10" ht="24" customHeight="1" x14ac:dyDescent="0.25">
      <c r="A7" s="3" t="s">
        <v>8</v>
      </c>
      <c r="B7" s="3"/>
      <c r="C7" s="4">
        <v>9</v>
      </c>
      <c r="D7" s="4">
        <v>13892</v>
      </c>
      <c r="E7" s="4">
        <f t="shared" ref="E7:E12" si="0">C7*D7</f>
        <v>125028</v>
      </c>
      <c r="F7" s="4">
        <f t="shared" ref="F7:F12" si="1">E7*$J$3</f>
        <v>22505.040000000001</v>
      </c>
      <c r="G7" s="4">
        <f t="shared" ref="G7:G12" si="2">E7+F7</f>
        <v>147533.04</v>
      </c>
    </row>
    <row r="8" spans="1:10" ht="24" customHeight="1" x14ac:dyDescent="0.25">
      <c r="A8" s="3" t="s">
        <v>9</v>
      </c>
      <c r="B8" s="3"/>
      <c r="C8" s="4">
        <v>12</v>
      </c>
      <c r="D8" s="4">
        <v>127</v>
      </c>
      <c r="E8" s="4">
        <f t="shared" si="0"/>
        <v>1524</v>
      </c>
      <c r="F8" s="4">
        <f t="shared" si="1"/>
        <v>274.32</v>
      </c>
      <c r="G8" s="4">
        <f t="shared" si="2"/>
        <v>1798.32</v>
      </c>
    </row>
    <row r="9" spans="1:10" ht="24" customHeight="1" x14ac:dyDescent="0.25">
      <c r="A9" s="3" t="s">
        <v>10</v>
      </c>
      <c r="B9" s="3"/>
      <c r="C9" s="4">
        <v>10</v>
      </c>
      <c r="D9" s="4">
        <v>652</v>
      </c>
      <c r="E9" s="4">
        <f t="shared" si="0"/>
        <v>6520</v>
      </c>
      <c r="F9" s="4">
        <f t="shared" si="1"/>
        <v>1173.5999999999999</v>
      </c>
      <c r="G9" s="4">
        <f t="shared" si="2"/>
        <v>7693.6</v>
      </c>
    </row>
    <row r="10" spans="1:10" ht="24" customHeight="1" x14ac:dyDescent="0.25">
      <c r="A10" s="3" t="s">
        <v>11</v>
      </c>
      <c r="B10" s="3"/>
      <c r="C10" s="4">
        <v>35</v>
      </c>
      <c r="D10" s="4">
        <v>5781</v>
      </c>
      <c r="E10" s="4">
        <f t="shared" si="0"/>
        <v>202335</v>
      </c>
      <c r="F10" s="4">
        <f t="shared" si="1"/>
        <v>36420.299999999996</v>
      </c>
      <c r="G10" s="4">
        <f t="shared" si="2"/>
        <v>238755.3</v>
      </c>
    </row>
    <row r="11" spans="1:10" ht="24" customHeight="1" x14ac:dyDescent="0.25">
      <c r="A11" s="3" t="s">
        <v>12</v>
      </c>
      <c r="B11" s="3"/>
      <c r="C11" s="4">
        <v>21</v>
      </c>
      <c r="D11" s="4">
        <v>4129</v>
      </c>
      <c r="E11" s="4">
        <f t="shared" si="0"/>
        <v>86709</v>
      </c>
      <c r="F11" s="4">
        <f t="shared" si="1"/>
        <v>15607.619999999999</v>
      </c>
      <c r="G11" s="4">
        <f t="shared" si="2"/>
        <v>102316.62</v>
      </c>
    </row>
    <row r="12" spans="1:10" ht="24" customHeight="1" x14ac:dyDescent="0.25">
      <c r="A12" s="3" t="s">
        <v>13</v>
      </c>
      <c r="B12" s="3"/>
      <c r="C12" s="4">
        <v>6</v>
      </c>
      <c r="D12" s="4">
        <v>5121</v>
      </c>
      <c r="E12" s="4">
        <f t="shared" si="0"/>
        <v>30726</v>
      </c>
      <c r="F12" s="4">
        <f t="shared" si="1"/>
        <v>5530.6799999999994</v>
      </c>
      <c r="G12" s="4">
        <f t="shared" si="2"/>
        <v>36256.68</v>
      </c>
    </row>
    <row r="13" spans="1:10" ht="24" customHeight="1" x14ac:dyDescent="0.25">
      <c r="A13" s="13" t="s">
        <v>14</v>
      </c>
      <c r="B13" s="13"/>
      <c r="C13" s="13"/>
      <c r="D13" s="5">
        <f>SUM(D6:D12)</f>
        <v>30902</v>
      </c>
      <c r="E13" s="5">
        <f t="shared" ref="E13:G13" si="3">SUM(E6:E12)</f>
        <v>458842</v>
      </c>
      <c r="F13" s="5">
        <f t="shared" si="3"/>
        <v>82591.559999999983</v>
      </c>
      <c r="G13" s="5">
        <f t="shared" si="3"/>
        <v>541433.56000000006</v>
      </c>
    </row>
  </sheetData>
  <mergeCells count="3">
    <mergeCell ref="A13:C13"/>
    <mergeCell ref="A1:G1"/>
    <mergeCell ref="A3:G3"/>
  </mergeCells>
  <phoneticPr fontId="2" type="noConversion"/>
  <pageMargins left="0.25" right="0.25" top="0.75" bottom="0.75"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FFBA7-FD7D-4A97-88EC-2EE329BB20DC}">
  <dimension ref="A1:G20"/>
  <sheetViews>
    <sheetView showGridLines="0" topLeftCell="A5" workbookViewId="0">
      <selection activeCell="C7" sqref="C7"/>
    </sheetView>
  </sheetViews>
  <sheetFormatPr defaultRowHeight="15" x14ac:dyDescent="0.25"/>
  <cols>
    <col min="1" max="1" width="33.5703125" style="8" customWidth="1"/>
    <col min="2" max="2" width="32.28515625" style="8" customWidth="1"/>
    <col min="3" max="3" width="31.5703125" style="8" customWidth="1"/>
    <col min="4" max="4" width="29.85546875" style="8" customWidth="1"/>
    <col min="5" max="5" width="14.85546875" style="8" customWidth="1"/>
    <col min="6" max="16384" width="9.140625" style="8"/>
  </cols>
  <sheetData>
    <row r="1" spans="1:7" ht="29.25" customHeight="1" x14ac:dyDescent="0.25">
      <c r="A1" s="16" t="s">
        <v>15</v>
      </c>
      <c r="B1" s="16"/>
      <c r="C1" s="16"/>
      <c r="D1" s="16"/>
      <c r="E1" s="16"/>
      <c r="F1" s="16"/>
      <c r="G1" s="16"/>
    </row>
    <row r="3" spans="1:7" ht="15.75" x14ac:dyDescent="0.25">
      <c r="A3" s="17" t="s">
        <v>36</v>
      </c>
      <c r="B3" s="17"/>
      <c r="C3" s="17"/>
      <c r="D3" s="17"/>
      <c r="E3" s="17"/>
      <c r="F3" s="17"/>
      <c r="G3" s="17"/>
    </row>
    <row r="4" spans="1:7" ht="15.75" x14ac:dyDescent="0.25">
      <c r="A4" s="1" t="s">
        <v>51</v>
      </c>
      <c r="B4" s="1"/>
      <c r="C4" s="1"/>
      <c r="D4" s="1"/>
      <c r="E4" s="1"/>
      <c r="F4" s="1"/>
      <c r="G4" s="1"/>
    </row>
    <row r="5" spans="1:7" ht="15.75" x14ac:dyDescent="0.25">
      <c r="A5" s="12" t="s">
        <v>49</v>
      </c>
      <c r="B5" s="12" t="s">
        <v>50</v>
      </c>
      <c r="C5" s="12" t="s">
        <v>37</v>
      </c>
      <c r="D5" s="12" t="s">
        <v>61</v>
      </c>
      <c r="E5" s="12" t="s">
        <v>65</v>
      </c>
      <c r="F5" s="1"/>
      <c r="G5" s="1"/>
    </row>
    <row r="6" spans="1:7" ht="15.75" x14ac:dyDescent="0.25">
      <c r="A6" s="1" t="s">
        <v>38</v>
      </c>
      <c r="B6" s="1" t="s">
        <v>39</v>
      </c>
      <c r="C6" s="1" t="s">
        <v>40</v>
      </c>
      <c r="D6" s="1" t="s">
        <v>62</v>
      </c>
      <c r="E6" s="1" t="s">
        <v>66</v>
      </c>
      <c r="F6" s="1"/>
      <c r="G6" s="1"/>
    </row>
    <row r="7" spans="1:7" ht="15.75" x14ac:dyDescent="0.25">
      <c r="A7" s="1" t="s">
        <v>41</v>
      </c>
      <c r="B7" s="1" t="s">
        <v>42</v>
      </c>
      <c r="C7" s="1" t="s">
        <v>40</v>
      </c>
      <c r="D7" s="1" t="s">
        <v>63</v>
      </c>
      <c r="E7" s="1" t="s">
        <v>67</v>
      </c>
      <c r="F7" s="1"/>
      <c r="G7" s="1"/>
    </row>
    <row r="8" spans="1:7" ht="15.75" x14ac:dyDescent="0.25">
      <c r="A8" s="1" t="s">
        <v>43</v>
      </c>
      <c r="B8" s="1" t="s">
        <v>44</v>
      </c>
      <c r="C8" s="1" t="s">
        <v>40</v>
      </c>
      <c r="D8" s="1" t="s">
        <v>64</v>
      </c>
      <c r="E8" s="1" t="s">
        <v>42</v>
      </c>
      <c r="F8" s="1"/>
      <c r="G8" s="1"/>
    </row>
    <row r="9" spans="1:7" ht="15.75" x14ac:dyDescent="0.25">
      <c r="A9" s="1" t="s">
        <v>45</v>
      </c>
      <c r="B9" s="1" t="s">
        <v>46</v>
      </c>
      <c r="C9" s="1" t="s">
        <v>40</v>
      </c>
      <c r="D9" s="1" t="s">
        <v>52</v>
      </c>
      <c r="E9" s="1" t="s">
        <v>42</v>
      </c>
      <c r="F9" s="1"/>
      <c r="G9" s="1"/>
    </row>
    <row r="10" spans="1:7" ht="15.75" x14ac:dyDescent="0.25">
      <c r="A10" s="1" t="s">
        <v>47</v>
      </c>
      <c r="B10" s="1" t="s">
        <v>43</v>
      </c>
      <c r="C10" s="1" t="s">
        <v>40</v>
      </c>
      <c r="D10" s="1" t="s">
        <v>53</v>
      </c>
      <c r="E10" s="1" t="s">
        <v>46</v>
      </c>
      <c r="F10" s="1"/>
      <c r="G10" s="1"/>
    </row>
    <row r="11" spans="1:7" ht="15.75" x14ac:dyDescent="0.25">
      <c r="A11" s="1"/>
      <c r="B11" s="1" t="s">
        <v>45</v>
      </c>
      <c r="C11" s="1" t="s">
        <v>48</v>
      </c>
      <c r="D11" s="1" t="s">
        <v>54</v>
      </c>
      <c r="E11" s="1" t="s">
        <v>47</v>
      </c>
      <c r="F11" s="1"/>
      <c r="G11" s="1"/>
    </row>
    <row r="12" spans="1:7" ht="15.75" x14ac:dyDescent="0.25">
      <c r="A12" s="1"/>
      <c r="B12" s="1" t="s">
        <v>47</v>
      </c>
      <c r="C12" s="1" t="s">
        <v>48</v>
      </c>
      <c r="D12" s="1" t="s">
        <v>55</v>
      </c>
      <c r="E12" s="1" t="s">
        <v>42</v>
      </c>
      <c r="F12" s="1"/>
      <c r="G12" s="1"/>
    </row>
    <row r="13" spans="1:7" ht="15.75" x14ac:dyDescent="0.25">
      <c r="A13" s="1"/>
      <c r="B13" s="1"/>
      <c r="C13" s="1"/>
      <c r="D13" s="1" t="s">
        <v>56</v>
      </c>
      <c r="E13" s="1" t="s">
        <v>45</v>
      </c>
      <c r="F13" s="1"/>
      <c r="G13" s="1"/>
    </row>
    <row r="14" spans="1:7" ht="15.75" x14ac:dyDescent="0.25">
      <c r="A14" s="1"/>
      <c r="B14" s="1"/>
      <c r="C14" s="1"/>
      <c r="D14" s="1" t="s">
        <v>57</v>
      </c>
      <c r="E14" s="1" t="s">
        <v>45</v>
      </c>
      <c r="F14" s="1"/>
      <c r="G14" s="1"/>
    </row>
    <row r="15" spans="1:7" ht="15.75" x14ac:dyDescent="0.25">
      <c r="A15" s="1"/>
      <c r="B15" s="1"/>
      <c r="C15" s="1"/>
      <c r="D15" s="1" t="s">
        <v>58</v>
      </c>
      <c r="E15" s="1" t="s">
        <v>39</v>
      </c>
      <c r="F15" s="1"/>
      <c r="G15" s="1"/>
    </row>
    <row r="16" spans="1:7" ht="15.75" x14ac:dyDescent="0.25">
      <c r="A16" s="1"/>
      <c r="B16" s="1"/>
      <c r="C16" s="1"/>
      <c r="D16" s="1" t="s">
        <v>59</v>
      </c>
      <c r="E16" s="1" t="s">
        <v>45</v>
      </c>
      <c r="F16" s="1"/>
      <c r="G16" s="1"/>
    </row>
    <row r="17" spans="1:7" ht="15.75" x14ac:dyDescent="0.25">
      <c r="A17" s="1"/>
      <c r="B17" s="1"/>
      <c r="C17" s="1"/>
      <c r="D17" s="1" t="s">
        <v>60</v>
      </c>
      <c r="E17" s="1" t="s">
        <v>45</v>
      </c>
      <c r="F17" s="1"/>
      <c r="G17" s="1"/>
    </row>
    <row r="18" spans="1:7" ht="15.75" x14ac:dyDescent="0.25">
      <c r="A18" s="1"/>
      <c r="B18" s="1"/>
      <c r="C18" s="1"/>
      <c r="D18" s="1" t="s">
        <v>84</v>
      </c>
      <c r="E18" s="1" t="s">
        <v>45</v>
      </c>
      <c r="F18" s="1"/>
      <c r="G18" s="1"/>
    </row>
    <row r="19" spans="1:7" ht="15.75" x14ac:dyDescent="0.25">
      <c r="A19" s="1"/>
      <c r="B19" s="1"/>
      <c r="C19" s="1"/>
      <c r="D19" s="1" t="s">
        <v>87</v>
      </c>
      <c r="E19" s="1" t="s">
        <v>45</v>
      </c>
      <c r="F19" s="1"/>
      <c r="G19" s="1"/>
    </row>
    <row r="20" spans="1:7" ht="15.75" x14ac:dyDescent="0.25">
      <c r="A20" s="1"/>
      <c r="B20" s="1"/>
      <c r="C20" s="1"/>
      <c r="D20" s="1" t="s">
        <v>88</v>
      </c>
      <c r="E20" s="1" t="s">
        <v>46</v>
      </c>
      <c r="F20" s="1"/>
      <c r="G20" s="1"/>
    </row>
  </sheetData>
  <mergeCells count="2">
    <mergeCell ref="A1:G1"/>
    <mergeCell ref="A3:G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84422-335A-46BE-8B7A-0B569084A00A}">
  <dimension ref="A2:H31"/>
  <sheetViews>
    <sheetView showGridLines="0" workbookViewId="0">
      <selection activeCell="B26" sqref="B26"/>
    </sheetView>
  </sheetViews>
  <sheetFormatPr defaultRowHeight="15.75" x14ac:dyDescent="0.25"/>
  <cols>
    <col min="1" max="1" width="16.140625" style="1" customWidth="1"/>
    <col min="2" max="2" width="25" style="1" customWidth="1"/>
    <col min="3" max="3" width="24.28515625" style="1" customWidth="1"/>
    <col min="4" max="4" width="17" style="1" customWidth="1"/>
    <col min="5" max="5" width="15.28515625" style="1" customWidth="1"/>
    <col min="6" max="6" width="65.28515625" style="1" customWidth="1"/>
    <col min="7" max="16384" width="9.140625" style="1"/>
  </cols>
  <sheetData>
    <row r="2" spans="1:8" ht="24" customHeight="1" x14ac:dyDescent="0.3">
      <c r="A2" s="11" t="s">
        <v>17</v>
      </c>
    </row>
    <row r="3" spans="1:8" ht="21" customHeight="1" x14ac:dyDescent="0.25">
      <c r="A3" s="12" t="s">
        <v>18</v>
      </c>
      <c r="B3" s="12" t="s">
        <v>19</v>
      </c>
      <c r="C3" s="12" t="s">
        <v>20</v>
      </c>
      <c r="D3" s="12" t="s">
        <v>21</v>
      </c>
      <c r="E3" s="12" t="s">
        <v>22</v>
      </c>
      <c r="F3" s="12" t="s">
        <v>23</v>
      </c>
      <c r="G3" s="1" t="s">
        <v>24</v>
      </c>
    </row>
    <row r="4" spans="1:8" ht="21" customHeight="1" x14ac:dyDescent="0.25">
      <c r="A4" s="9">
        <v>45839</v>
      </c>
      <c r="B4" s="1" t="s">
        <v>68</v>
      </c>
      <c r="C4" s="1" t="s">
        <v>62</v>
      </c>
      <c r="D4" s="10">
        <v>5000000</v>
      </c>
      <c r="E4" s="10"/>
      <c r="F4" s="1" t="s">
        <v>25</v>
      </c>
      <c r="G4" s="1">
        <v>1</v>
      </c>
      <c r="H4" s="1" t="s">
        <v>25</v>
      </c>
    </row>
    <row r="5" spans="1:8" ht="21" customHeight="1" x14ac:dyDescent="0.25">
      <c r="A5" s="9">
        <v>45839</v>
      </c>
      <c r="B5" s="1" t="s">
        <v>68</v>
      </c>
      <c r="C5" s="1" t="s">
        <v>63</v>
      </c>
      <c r="D5" s="10"/>
      <c r="E5" s="10">
        <f>D4</f>
        <v>5000000</v>
      </c>
      <c r="G5" s="1">
        <v>2</v>
      </c>
      <c r="H5" s="1" t="s">
        <v>26</v>
      </c>
    </row>
    <row r="6" spans="1:8" ht="21" customHeight="1" x14ac:dyDescent="0.25">
      <c r="A6" s="9">
        <v>45840</v>
      </c>
      <c r="B6" s="1" t="s">
        <v>69</v>
      </c>
      <c r="C6" s="1" t="s">
        <v>64</v>
      </c>
      <c r="D6" s="10">
        <v>1500000</v>
      </c>
      <c r="E6" s="10"/>
      <c r="F6" s="1" t="s">
        <v>26</v>
      </c>
      <c r="G6" s="1">
        <v>3</v>
      </c>
      <c r="H6" s="1" t="s">
        <v>33</v>
      </c>
    </row>
    <row r="7" spans="1:8" ht="21" customHeight="1" x14ac:dyDescent="0.25">
      <c r="A7" s="9">
        <v>45840</v>
      </c>
      <c r="B7" s="1" t="s">
        <v>70</v>
      </c>
      <c r="C7" s="1" t="s">
        <v>62</v>
      </c>
      <c r="D7" s="10"/>
      <c r="E7" s="10">
        <f>D6</f>
        <v>1500000</v>
      </c>
      <c r="G7" s="1">
        <v>4</v>
      </c>
      <c r="H7" s="1" t="s">
        <v>27</v>
      </c>
    </row>
    <row r="8" spans="1:8" ht="21" customHeight="1" x14ac:dyDescent="0.25">
      <c r="A8" s="9">
        <v>45843</v>
      </c>
      <c r="B8" s="1" t="s">
        <v>71</v>
      </c>
      <c r="C8" s="1" t="s">
        <v>52</v>
      </c>
      <c r="D8" s="10">
        <v>750000</v>
      </c>
      <c r="E8" s="10"/>
      <c r="F8" s="1" t="s">
        <v>33</v>
      </c>
      <c r="G8" s="1">
        <v>5</v>
      </c>
      <c r="H8" s="1" t="s">
        <v>34</v>
      </c>
    </row>
    <row r="9" spans="1:8" ht="21" customHeight="1" x14ac:dyDescent="0.25">
      <c r="A9" s="9">
        <v>45843</v>
      </c>
      <c r="B9" s="1" t="s">
        <v>71</v>
      </c>
      <c r="C9" s="1" t="s">
        <v>53</v>
      </c>
      <c r="D9" s="10"/>
      <c r="E9" s="10">
        <f>D8</f>
        <v>750000</v>
      </c>
      <c r="G9" s="1">
        <v>6</v>
      </c>
      <c r="H9" s="1" t="s">
        <v>35</v>
      </c>
    </row>
    <row r="10" spans="1:8" ht="21" customHeight="1" x14ac:dyDescent="0.25">
      <c r="A10" s="9">
        <v>45845</v>
      </c>
      <c r="B10" s="1" t="s">
        <v>71</v>
      </c>
      <c r="C10" s="1" t="s">
        <v>52</v>
      </c>
      <c r="D10" s="10">
        <v>500000</v>
      </c>
      <c r="E10" s="10"/>
      <c r="F10" s="1" t="s">
        <v>27</v>
      </c>
      <c r="G10" s="1">
        <v>7</v>
      </c>
      <c r="H10" s="1" t="s">
        <v>28</v>
      </c>
    </row>
    <row r="11" spans="1:8" ht="21" customHeight="1" x14ac:dyDescent="0.25">
      <c r="A11" s="9">
        <v>45845</v>
      </c>
      <c r="B11" s="1" t="s">
        <v>71</v>
      </c>
      <c r="C11" s="1" t="s">
        <v>64</v>
      </c>
      <c r="D11" s="10"/>
      <c r="E11" s="10">
        <f t="shared" ref="E11:E29" si="0">D10</f>
        <v>500000</v>
      </c>
      <c r="G11" s="1">
        <v>8</v>
      </c>
      <c r="H11" s="1" t="s">
        <v>29</v>
      </c>
    </row>
    <row r="12" spans="1:8" ht="21" customHeight="1" x14ac:dyDescent="0.25">
      <c r="A12" s="9">
        <v>45848</v>
      </c>
      <c r="B12" s="1" t="s">
        <v>72</v>
      </c>
      <c r="C12" s="1" t="s">
        <v>55</v>
      </c>
      <c r="D12" s="10">
        <v>800000</v>
      </c>
      <c r="E12" s="10"/>
      <c r="F12" s="1" t="s">
        <v>34</v>
      </c>
      <c r="G12" s="1">
        <v>9</v>
      </c>
      <c r="H12" s="1" t="s">
        <v>30</v>
      </c>
    </row>
    <row r="13" spans="1:8" ht="21" customHeight="1" x14ac:dyDescent="0.25">
      <c r="A13" s="9">
        <v>45848</v>
      </c>
      <c r="B13" s="1" t="s">
        <v>72</v>
      </c>
      <c r="C13" s="1" t="s">
        <v>54</v>
      </c>
      <c r="D13" s="10"/>
      <c r="E13" s="10">
        <f t="shared" si="0"/>
        <v>800000</v>
      </c>
      <c r="G13" s="1">
        <v>10</v>
      </c>
      <c r="H13" s="1" t="s">
        <v>31</v>
      </c>
    </row>
    <row r="14" spans="1:8" ht="21" customHeight="1" x14ac:dyDescent="0.25">
      <c r="A14" s="9">
        <v>45852</v>
      </c>
      <c r="B14" s="1" t="s">
        <v>72</v>
      </c>
      <c r="C14" s="1" t="s">
        <v>62</v>
      </c>
      <c r="D14" s="10">
        <v>425000</v>
      </c>
      <c r="E14" s="10"/>
      <c r="F14" s="1" t="s">
        <v>35</v>
      </c>
      <c r="G14" s="1">
        <v>11</v>
      </c>
      <c r="H14" s="1" t="s">
        <v>32</v>
      </c>
    </row>
    <row r="15" spans="1:8" ht="21" customHeight="1" x14ac:dyDescent="0.25">
      <c r="A15" s="9">
        <v>45852</v>
      </c>
      <c r="B15" s="1" t="s">
        <v>72</v>
      </c>
      <c r="C15" s="1" t="s">
        <v>54</v>
      </c>
      <c r="D15" s="10"/>
      <c r="E15" s="10">
        <f t="shared" si="0"/>
        <v>425000</v>
      </c>
    </row>
    <row r="16" spans="1:8" ht="21" customHeight="1" x14ac:dyDescent="0.25">
      <c r="A16" s="9">
        <v>45853</v>
      </c>
      <c r="B16" s="1" t="s">
        <v>85</v>
      </c>
      <c r="C16" s="1" t="s">
        <v>84</v>
      </c>
      <c r="D16" s="10">
        <v>290000</v>
      </c>
      <c r="E16" s="10"/>
    </row>
    <row r="17" spans="1:6" ht="21" customHeight="1" x14ac:dyDescent="0.25">
      <c r="A17" s="9">
        <v>45853</v>
      </c>
      <c r="B17" s="1" t="s">
        <v>85</v>
      </c>
      <c r="C17" s="1" t="s">
        <v>52</v>
      </c>
      <c r="D17" s="10"/>
      <c r="E17" s="10">
        <f>D16</f>
        <v>290000</v>
      </c>
    </row>
    <row r="18" spans="1:6" ht="21" customHeight="1" x14ac:dyDescent="0.25">
      <c r="A18" s="9">
        <v>45853</v>
      </c>
      <c r="B18" s="1" t="s">
        <v>85</v>
      </c>
      <c r="C18" s="1" t="s">
        <v>84</v>
      </c>
      <c r="D18" s="10">
        <v>200000</v>
      </c>
      <c r="E18" s="10"/>
    </row>
    <row r="19" spans="1:6" ht="21" customHeight="1" x14ac:dyDescent="0.25">
      <c r="A19" s="9">
        <v>45853</v>
      </c>
      <c r="B19" s="1" t="s">
        <v>85</v>
      </c>
      <c r="C19" s="1" t="s">
        <v>52</v>
      </c>
      <c r="D19" s="10"/>
      <c r="E19" s="10">
        <f>D18</f>
        <v>200000</v>
      </c>
    </row>
    <row r="20" spans="1:6" ht="21" customHeight="1" x14ac:dyDescent="0.25">
      <c r="A20" s="9">
        <v>45854</v>
      </c>
      <c r="B20" s="1" t="s">
        <v>73</v>
      </c>
      <c r="C20" s="1" t="s">
        <v>56</v>
      </c>
      <c r="D20" s="10">
        <v>45000</v>
      </c>
      <c r="E20" s="10"/>
      <c r="F20" s="1" t="s">
        <v>28</v>
      </c>
    </row>
    <row r="21" spans="1:6" ht="21" customHeight="1" x14ac:dyDescent="0.25">
      <c r="A21" s="9">
        <v>45854</v>
      </c>
      <c r="B21" s="1" t="s">
        <v>73</v>
      </c>
      <c r="C21" s="1" t="s">
        <v>64</v>
      </c>
      <c r="D21" s="10"/>
      <c r="E21" s="10">
        <f t="shared" si="0"/>
        <v>45000</v>
      </c>
    </row>
    <row r="22" spans="1:6" ht="21" customHeight="1" x14ac:dyDescent="0.25">
      <c r="A22" s="9">
        <v>45856</v>
      </c>
      <c r="B22" s="1" t="s">
        <v>74</v>
      </c>
      <c r="C22" s="1" t="s">
        <v>57</v>
      </c>
      <c r="D22" s="10">
        <v>70000</v>
      </c>
      <c r="E22" s="10"/>
      <c r="F22" s="1" t="s">
        <v>29</v>
      </c>
    </row>
    <row r="23" spans="1:6" ht="21" customHeight="1" x14ac:dyDescent="0.25">
      <c r="A23" s="9">
        <v>45856</v>
      </c>
      <c r="B23" s="1" t="s">
        <v>74</v>
      </c>
      <c r="C23" s="1" t="s">
        <v>64</v>
      </c>
      <c r="D23" s="10"/>
      <c r="E23" s="10">
        <f t="shared" si="0"/>
        <v>70000</v>
      </c>
    </row>
    <row r="24" spans="1:6" ht="21" customHeight="1" x14ac:dyDescent="0.25">
      <c r="A24" s="9">
        <v>45865</v>
      </c>
      <c r="B24" s="1" t="s">
        <v>75</v>
      </c>
      <c r="C24" s="1" t="s">
        <v>58</v>
      </c>
      <c r="D24" s="10">
        <v>250000</v>
      </c>
      <c r="E24" s="10"/>
      <c r="F24" s="1" t="s">
        <v>30</v>
      </c>
    </row>
    <row r="25" spans="1:6" ht="21" customHeight="1" x14ac:dyDescent="0.25">
      <c r="A25" s="9">
        <v>45865</v>
      </c>
      <c r="B25" s="1" t="s">
        <v>75</v>
      </c>
      <c r="C25" s="1" t="s">
        <v>64</v>
      </c>
      <c r="D25" s="10"/>
      <c r="E25" s="10">
        <f t="shared" si="0"/>
        <v>250000</v>
      </c>
    </row>
    <row r="26" spans="1:6" ht="21" customHeight="1" x14ac:dyDescent="0.25">
      <c r="A26" s="9">
        <v>45870</v>
      </c>
      <c r="B26" s="1" t="s">
        <v>76</v>
      </c>
      <c r="C26" s="1" t="s">
        <v>59</v>
      </c>
      <c r="D26" s="10">
        <v>110000</v>
      </c>
      <c r="E26" s="10"/>
      <c r="F26" s="1" t="s">
        <v>31</v>
      </c>
    </row>
    <row r="27" spans="1:6" ht="21" customHeight="1" x14ac:dyDescent="0.25">
      <c r="A27" s="9">
        <v>45870</v>
      </c>
      <c r="B27" s="1" t="s">
        <v>76</v>
      </c>
      <c r="C27" s="1" t="s">
        <v>64</v>
      </c>
      <c r="D27" s="10"/>
      <c r="E27" s="10">
        <f t="shared" si="0"/>
        <v>110000</v>
      </c>
    </row>
    <row r="28" spans="1:6" ht="21" customHeight="1" x14ac:dyDescent="0.25">
      <c r="A28" s="9">
        <v>45871</v>
      </c>
      <c r="B28" s="1" t="s">
        <v>77</v>
      </c>
      <c r="C28" s="1" t="s">
        <v>60</v>
      </c>
      <c r="D28" s="10">
        <v>35000</v>
      </c>
      <c r="E28" s="10"/>
      <c r="F28" s="1" t="s">
        <v>32</v>
      </c>
    </row>
    <row r="29" spans="1:6" ht="21" customHeight="1" x14ac:dyDescent="0.25">
      <c r="A29" s="9">
        <v>45871</v>
      </c>
      <c r="B29" s="1" t="s">
        <v>77</v>
      </c>
      <c r="C29" s="1" t="s">
        <v>64</v>
      </c>
      <c r="D29" s="10"/>
      <c r="E29" s="10">
        <f t="shared" si="0"/>
        <v>35000</v>
      </c>
    </row>
    <row r="30" spans="1:6" x14ac:dyDescent="0.25">
      <c r="A30" s="9">
        <v>45871</v>
      </c>
      <c r="B30" s="1" t="s">
        <v>86</v>
      </c>
      <c r="C30" s="1" t="s">
        <v>87</v>
      </c>
      <c r="D30" s="10">
        <v>142500</v>
      </c>
      <c r="E30" s="10"/>
    </row>
    <row r="31" spans="1:6" x14ac:dyDescent="0.25">
      <c r="A31" s="9">
        <v>45871</v>
      </c>
      <c r="B31" s="1" t="s">
        <v>86</v>
      </c>
      <c r="C31" s="1" t="s">
        <v>88</v>
      </c>
      <c r="D31" s="10"/>
      <c r="E31" s="10">
        <f>D30</f>
        <v>142500</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C3CAD109-71E8-4743-B33C-E8B90355ECCA}">
          <x14:formula1>
            <xm:f>'CHARTS OF ACCOUNTS'!$D$6:$D$20</xm:f>
          </x14:formula1>
          <xm:sqref>C5:C17 C19:C31</xm:sqref>
        </x14:dataValidation>
        <x14:dataValidation type="list" allowBlank="1" showInputMessage="1" showErrorMessage="1" xr:uid="{4916B803-FA91-4279-893B-9996AE9D1A41}">
          <x14:formula1>
            <xm:f>'CHARTS OF ACCOUNTS'!$D$6:$D$18</xm:f>
          </x14:formula1>
          <xm:sqref>C4</xm:sqref>
        </x14:dataValidation>
        <x14:dataValidation type="list" allowBlank="1" showInputMessage="1" showErrorMessage="1" xr:uid="{C31169B8-AD8E-42BE-9966-F57D6CCA790E}">
          <x14:formula1>
            <xm:f>'CHARTS OF ACCOUNTS'!$D$5:$D$20</xm:f>
          </x14:formula1>
          <xm:sqref>C18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FB539-7E8C-4FC2-AF3F-BF6241B6909E}">
  <dimension ref="A1:E30"/>
  <sheetViews>
    <sheetView workbookViewId="0">
      <selection sqref="A1:XFD1048576"/>
    </sheetView>
  </sheetViews>
  <sheetFormatPr defaultRowHeight="15.75" x14ac:dyDescent="0.25"/>
  <cols>
    <col min="1" max="1" width="26.7109375" style="1" bestFit="1" customWidth="1"/>
    <col min="2" max="2" width="23" style="1" bestFit="1" customWidth="1"/>
    <col min="3" max="3" width="23.42578125" style="1" customWidth="1"/>
    <col min="4" max="4" width="23" style="1" customWidth="1"/>
    <col min="5" max="5" width="23.85546875" style="1" customWidth="1"/>
    <col min="6" max="16384" width="9.140625" style="1"/>
  </cols>
  <sheetData>
    <row r="1" spans="1:5" x14ac:dyDescent="0.25">
      <c r="A1" s="18" t="s">
        <v>81</v>
      </c>
      <c r="B1" s="18"/>
      <c r="C1" s="18"/>
      <c r="D1" s="18"/>
    </row>
    <row r="2" spans="1:5" x14ac:dyDescent="0.25">
      <c r="A2" s="1" t="str">
        <f>B4</f>
        <v>Cash</v>
      </c>
    </row>
    <row r="3" spans="1:5" x14ac:dyDescent="0.25">
      <c r="A3" s="19" t="s">
        <v>18</v>
      </c>
      <c r="B3" s="19" t="s">
        <v>20</v>
      </c>
      <c r="C3" s="1" t="s">
        <v>79</v>
      </c>
      <c r="D3" s="1" t="s">
        <v>80</v>
      </c>
      <c r="E3" s="1" t="s">
        <v>82</v>
      </c>
    </row>
    <row r="4" spans="1:5" x14ac:dyDescent="0.25">
      <c r="A4" s="9">
        <v>45839</v>
      </c>
      <c r="B4" s="1" t="s">
        <v>62</v>
      </c>
      <c r="C4" s="20">
        <v>5000000</v>
      </c>
      <c r="D4" s="20"/>
      <c r="E4" s="20">
        <v>5000000</v>
      </c>
    </row>
    <row r="5" spans="1:5" x14ac:dyDescent="0.25">
      <c r="A5" s="9">
        <v>45839</v>
      </c>
      <c r="B5" s="1" t="s">
        <v>63</v>
      </c>
      <c r="C5" s="20"/>
      <c r="D5" s="20">
        <v>5000000</v>
      </c>
      <c r="E5" s="20">
        <v>-5000000</v>
      </c>
    </row>
    <row r="6" spans="1:5" x14ac:dyDescent="0.25">
      <c r="A6" s="9">
        <v>45840</v>
      </c>
      <c r="B6" s="1" t="s">
        <v>64</v>
      </c>
      <c r="C6" s="20">
        <v>1500000</v>
      </c>
      <c r="D6" s="20"/>
      <c r="E6" s="20">
        <v>1500000</v>
      </c>
    </row>
    <row r="7" spans="1:5" x14ac:dyDescent="0.25">
      <c r="A7" s="9">
        <v>45840</v>
      </c>
      <c r="B7" s="1" t="s">
        <v>62</v>
      </c>
      <c r="C7" s="20"/>
      <c r="D7" s="20">
        <v>1500000</v>
      </c>
      <c r="E7" s="20">
        <v>-1500000</v>
      </c>
    </row>
    <row r="8" spans="1:5" x14ac:dyDescent="0.25">
      <c r="A8" s="9">
        <v>45843</v>
      </c>
      <c r="B8" s="1" t="s">
        <v>52</v>
      </c>
      <c r="C8" s="20">
        <v>750000</v>
      </c>
      <c r="D8" s="20"/>
      <c r="E8" s="20">
        <v>750000</v>
      </c>
    </row>
    <row r="9" spans="1:5" x14ac:dyDescent="0.25">
      <c r="A9" s="9">
        <v>45843</v>
      </c>
      <c r="B9" s="1" t="s">
        <v>53</v>
      </c>
      <c r="C9" s="20"/>
      <c r="D9" s="20">
        <v>750000</v>
      </c>
      <c r="E9" s="20">
        <v>-750000</v>
      </c>
    </row>
    <row r="10" spans="1:5" x14ac:dyDescent="0.25">
      <c r="A10" s="9">
        <v>45845</v>
      </c>
      <c r="B10" s="1" t="s">
        <v>64</v>
      </c>
      <c r="C10" s="20"/>
      <c r="D10" s="20">
        <v>500000</v>
      </c>
      <c r="E10" s="20">
        <v>-500000</v>
      </c>
    </row>
    <row r="11" spans="1:5" x14ac:dyDescent="0.25">
      <c r="A11" s="9">
        <v>45845</v>
      </c>
      <c r="B11" s="1" t="s">
        <v>52</v>
      </c>
      <c r="C11" s="20">
        <v>500000</v>
      </c>
      <c r="D11" s="20"/>
      <c r="E11" s="20">
        <v>500000</v>
      </c>
    </row>
    <row r="12" spans="1:5" x14ac:dyDescent="0.25">
      <c r="A12" s="9">
        <v>45848</v>
      </c>
      <c r="B12" s="1" t="s">
        <v>55</v>
      </c>
      <c r="C12" s="20">
        <v>800000</v>
      </c>
      <c r="D12" s="20"/>
      <c r="E12" s="20">
        <v>800000</v>
      </c>
    </row>
    <row r="13" spans="1:5" x14ac:dyDescent="0.25">
      <c r="A13" s="9">
        <v>45848</v>
      </c>
      <c r="B13" s="1" t="s">
        <v>54</v>
      </c>
      <c r="C13" s="20"/>
      <c r="D13" s="20">
        <v>800000</v>
      </c>
      <c r="E13" s="20">
        <v>-800000</v>
      </c>
    </row>
    <row r="14" spans="1:5" x14ac:dyDescent="0.25">
      <c r="A14" s="9">
        <v>45852</v>
      </c>
      <c r="B14" s="1" t="s">
        <v>62</v>
      </c>
      <c r="C14" s="20">
        <v>425000</v>
      </c>
      <c r="D14" s="20"/>
      <c r="E14" s="20">
        <v>425000</v>
      </c>
    </row>
    <row r="15" spans="1:5" x14ac:dyDescent="0.25">
      <c r="A15" s="9">
        <v>45852</v>
      </c>
      <c r="B15" s="1" t="s">
        <v>54</v>
      </c>
      <c r="C15" s="20"/>
      <c r="D15" s="20">
        <v>425000</v>
      </c>
      <c r="E15" s="20">
        <v>-425000</v>
      </c>
    </row>
    <row r="16" spans="1:5" x14ac:dyDescent="0.25">
      <c r="A16" s="9">
        <v>45854</v>
      </c>
      <c r="B16" s="1" t="s">
        <v>64</v>
      </c>
      <c r="C16" s="20"/>
      <c r="D16" s="20">
        <v>45000</v>
      </c>
      <c r="E16" s="20">
        <v>-45000</v>
      </c>
    </row>
    <row r="17" spans="1:5" x14ac:dyDescent="0.25">
      <c r="A17" s="9">
        <v>45854</v>
      </c>
      <c r="B17" s="1" t="s">
        <v>56</v>
      </c>
      <c r="C17" s="20">
        <v>45000</v>
      </c>
      <c r="D17" s="20"/>
      <c r="E17" s="20">
        <v>45000</v>
      </c>
    </row>
    <row r="18" spans="1:5" x14ac:dyDescent="0.25">
      <c r="A18" s="9">
        <v>45856</v>
      </c>
      <c r="B18" s="1" t="s">
        <v>64</v>
      </c>
      <c r="C18" s="20"/>
      <c r="D18" s="20">
        <v>70000</v>
      </c>
      <c r="E18" s="20">
        <v>-70000</v>
      </c>
    </row>
    <row r="19" spans="1:5" x14ac:dyDescent="0.25">
      <c r="A19" s="9">
        <v>45856</v>
      </c>
      <c r="B19" s="1" t="s">
        <v>57</v>
      </c>
      <c r="C19" s="20">
        <v>70000</v>
      </c>
      <c r="D19" s="20"/>
      <c r="E19" s="20">
        <v>70000</v>
      </c>
    </row>
    <row r="20" spans="1:5" x14ac:dyDescent="0.25">
      <c r="A20" s="9">
        <v>45865</v>
      </c>
      <c r="B20" s="1" t="s">
        <v>64</v>
      </c>
      <c r="C20" s="20"/>
      <c r="D20" s="20">
        <v>250000</v>
      </c>
      <c r="E20" s="20">
        <v>-250000</v>
      </c>
    </row>
    <row r="21" spans="1:5" x14ac:dyDescent="0.25">
      <c r="A21" s="9">
        <v>45865</v>
      </c>
      <c r="B21" s="1" t="s">
        <v>58</v>
      </c>
      <c r="C21" s="20">
        <v>250000</v>
      </c>
      <c r="D21" s="20"/>
      <c r="E21" s="20">
        <v>250000</v>
      </c>
    </row>
    <row r="22" spans="1:5" x14ac:dyDescent="0.25">
      <c r="A22" s="9">
        <v>45870</v>
      </c>
      <c r="B22" s="1" t="s">
        <v>64</v>
      </c>
      <c r="C22" s="20"/>
      <c r="D22" s="20">
        <v>110000</v>
      </c>
      <c r="E22" s="20">
        <v>-110000</v>
      </c>
    </row>
    <row r="23" spans="1:5" x14ac:dyDescent="0.25">
      <c r="A23" s="9">
        <v>45870</v>
      </c>
      <c r="B23" s="1" t="s">
        <v>59</v>
      </c>
      <c r="C23" s="20">
        <v>110000</v>
      </c>
      <c r="D23" s="20"/>
      <c r="E23" s="20">
        <v>110000</v>
      </c>
    </row>
    <row r="24" spans="1:5" x14ac:dyDescent="0.25">
      <c r="A24" s="9">
        <v>45871</v>
      </c>
      <c r="B24" s="1" t="s">
        <v>64</v>
      </c>
      <c r="C24" s="20"/>
      <c r="D24" s="20">
        <v>35000</v>
      </c>
      <c r="E24" s="20">
        <v>-35000</v>
      </c>
    </row>
    <row r="25" spans="1:5" x14ac:dyDescent="0.25">
      <c r="A25" s="9">
        <v>45871</v>
      </c>
      <c r="B25" s="1" t="s">
        <v>60</v>
      </c>
      <c r="C25" s="20">
        <v>35000</v>
      </c>
      <c r="D25" s="20"/>
      <c r="E25" s="20">
        <v>35000</v>
      </c>
    </row>
    <row r="26" spans="1:5" x14ac:dyDescent="0.25">
      <c r="A26" s="9">
        <v>45871</v>
      </c>
      <c r="B26" s="1" t="s">
        <v>87</v>
      </c>
      <c r="C26" s="20">
        <v>142500</v>
      </c>
      <c r="D26" s="20"/>
      <c r="E26" s="20">
        <v>142500</v>
      </c>
    </row>
    <row r="27" spans="1:5" x14ac:dyDescent="0.25">
      <c r="A27" s="9">
        <v>45871</v>
      </c>
      <c r="B27" s="1" t="s">
        <v>88</v>
      </c>
      <c r="C27" s="20"/>
      <c r="D27" s="20">
        <v>142500</v>
      </c>
      <c r="E27" s="20">
        <v>-142500</v>
      </c>
    </row>
    <row r="28" spans="1:5" x14ac:dyDescent="0.25">
      <c r="A28" s="9">
        <v>45853</v>
      </c>
      <c r="B28" s="1" t="s">
        <v>52</v>
      </c>
      <c r="C28" s="20"/>
      <c r="D28" s="20">
        <v>490000</v>
      </c>
      <c r="E28" s="20">
        <v>-490000</v>
      </c>
    </row>
    <row r="29" spans="1:5" x14ac:dyDescent="0.25">
      <c r="A29" s="9">
        <v>45853</v>
      </c>
      <c r="B29" s="1" t="s">
        <v>84</v>
      </c>
      <c r="C29" s="20">
        <v>490000</v>
      </c>
      <c r="D29" s="20"/>
      <c r="E29" s="20">
        <v>490000</v>
      </c>
    </row>
    <row r="30" spans="1:5" x14ac:dyDescent="0.25">
      <c r="A30" s="9" t="s">
        <v>78</v>
      </c>
      <c r="C30" s="20">
        <v>10117500</v>
      </c>
      <c r="D30" s="20">
        <v>10117500</v>
      </c>
      <c r="E30" s="20">
        <v>0</v>
      </c>
    </row>
  </sheetData>
  <mergeCells count="1">
    <mergeCell ref="A1:D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C25A-9A50-4111-8411-32A03A42C067}">
  <dimension ref="A1:F19"/>
  <sheetViews>
    <sheetView tabSelected="1" zoomScale="107" workbookViewId="0">
      <selection activeCell="E4" sqref="E4"/>
    </sheetView>
  </sheetViews>
  <sheetFormatPr defaultRowHeight="15.75" x14ac:dyDescent="0.25"/>
  <cols>
    <col min="1" max="1" width="26.7109375" style="1" bestFit="1" customWidth="1"/>
    <col min="2" max="2" width="23" style="1" bestFit="1" customWidth="1"/>
    <col min="3" max="3" width="23.42578125" style="1" customWidth="1"/>
    <col min="4" max="4" width="23" style="1" customWidth="1"/>
    <col min="5" max="6" width="23.85546875" style="1" customWidth="1"/>
    <col min="7" max="7" width="14.5703125" style="1" customWidth="1"/>
    <col min="8" max="16384" width="9.140625" style="1"/>
  </cols>
  <sheetData>
    <row r="1" spans="1:6" x14ac:dyDescent="0.25">
      <c r="A1" s="18" t="s">
        <v>81</v>
      </c>
      <c r="B1" s="18"/>
      <c r="C1" s="18"/>
      <c r="D1" s="18"/>
    </row>
    <row r="2" spans="1:6" x14ac:dyDescent="0.25">
      <c r="A2" s="1" t="s">
        <v>83</v>
      </c>
    </row>
    <row r="3" spans="1:6" x14ac:dyDescent="0.25">
      <c r="A3" s="19" t="s">
        <v>20</v>
      </c>
      <c r="B3" s="1" t="s">
        <v>79</v>
      </c>
      <c r="C3" s="1" t="s">
        <v>80</v>
      </c>
      <c r="D3" s="1" t="s">
        <v>82</v>
      </c>
    </row>
    <row r="4" spans="1:6" x14ac:dyDescent="0.25">
      <c r="A4" s="1" t="s">
        <v>64</v>
      </c>
      <c r="B4" s="20">
        <v>1500000</v>
      </c>
      <c r="C4" s="20">
        <v>1010000</v>
      </c>
      <c r="D4" s="20">
        <v>490000</v>
      </c>
      <c r="E4" s="1" t="str">
        <f>VLOOKUP(A4,'CHARTS OF ACCOUNTS'!D:E,2,FALSE)</f>
        <v>Current Assets</v>
      </c>
      <c r="F4" s="1" t="s">
        <v>40</v>
      </c>
    </row>
    <row r="5" spans="1:6" x14ac:dyDescent="0.25">
      <c r="A5" s="1" t="s">
        <v>62</v>
      </c>
      <c r="B5" s="20">
        <v>5425000</v>
      </c>
      <c r="C5" s="20">
        <v>1500000</v>
      </c>
      <c r="D5" s="20">
        <v>3925000</v>
      </c>
      <c r="E5" s="1" t="str">
        <f>VLOOKUP(A5,'CHARTS OF ACCOUNTS'!D:E,2,FALSE)</f>
        <v xml:space="preserve"> Current Assets</v>
      </c>
      <c r="F5" s="1" t="s">
        <v>40</v>
      </c>
    </row>
    <row r="6" spans="1:6" x14ac:dyDescent="0.25">
      <c r="A6" s="1" t="s">
        <v>58</v>
      </c>
      <c r="B6" s="20">
        <v>250000</v>
      </c>
      <c r="C6" s="20"/>
      <c r="D6" s="20">
        <v>250000</v>
      </c>
      <c r="E6" s="1" t="str">
        <f>VLOOKUP(A6,'CHARTS OF ACCOUNTS'!D:E,2,FALSE)</f>
        <v>Non-Current Assets</v>
      </c>
      <c r="F6" s="1" t="s">
        <v>40</v>
      </c>
    </row>
    <row r="7" spans="1:6" x14ac:dyDescent="0.25">
      <c r="A7" s="1" t="s">
        <v>57</v>
      </c>
      <c r="B7" s="20">
        <v>70000</v>
      </c>
      <c r="C7" s="20"/>
      <c r="D7" s="20">
        <v>70000</v>
      </c>
      <c r="E7" s="1" t="str">
        <f>VLOOKUP(A7,'CHARTS OF ACCOUNTS'!D:E,2,FALSE)</f>
        <v>Expenses</v>
      </c>
      <c r="F7" s="1" t="s">
        <v>48</v>
      </c>
    </row>
    <row r="8" spans="1:6" x14ac:dyDescent="0.25">
      <c r="A8" s="1" t="s">
        <v>63</v>
      </c>
      <c r="B8" s="20"/>
      <c r="C8" s="20">
        <v>5000000</v>
      </c>
      <c r="D8" s="20">
        <v>-5000000</v>
      </c>
      <c r="E8" s="1" t="str">
        <f>VLOOKUP(A8,'CHARTS OF ACCOUNTS'!D:E,2,FALSE)</f>
        <v xml:space="preserve"> Equity</v>
      </c>
      <c r="F8" s="1" t="s">
        <v>40</v>
      </c>
    </row>
    <row r="9" spans="1:6" x14ac:dyDescent="0.25">
      <c r="A9" s="1" t="s">
        <v>52</v>
      </c>
      <c r="B9" s="20">
        <v>1250000</v>
      </c>
      <c r="C9" s="20">
        <v>490000</v>
      </c>
      <c r="D9" s="20">
        <v>760000</v>
      </c>
      <c r="E9" s="1" t="str">
        <f>VLOOKUP(A9,'CHARTS OF ACCOUNTS'!D:E,2,FALSE)</f>
        <v>Current Assets</v>
      </c>
      <c r="F9" s="1" t="s">
        <v>40</v>
      </c>
    </row>
    <row r="10" spans="1:6" x14ac:dyDescent="0.25">
      <c r="A10" s="1" t="s">
        <v>53</v>
      </c>
      <c r="B10" s="20"/>
      <c r="C10" s="20">
        <v>750000</v>
      </c>
      <c r="D10" s="20">
        <v>-750000</v>
      </c>
      <c r="E10" s="1" t="str">
        <f>VLOOKUP(A10,'CHARTS OF ACCOUNTS'!D:E,2,FALSE)</f>
        <v>Current Liabilities</v>
      </c>
      <c r="F10" s="1" t="s">
        <v>40</v>
      </c>
    </row>
    <row r="11" spans="1:6" x14ac:dyDescent="0.25">
      <c r="A11" s="1" t="s">
        <v>55</v>
      </c>
      <c r="B11" s="20">
        <v>800000</v>
      </c>
      <c r="C11" s="20"/>
      <c r="D11" s="20">
        <v>800000</v>
      </c>
      <c r="E11" s="1" t="str">
        <f>VLOOKUP(A11,'CHARTS OF ACCOUNTS'!D:E,2,FALSE)</f>
        <v>Current Assets</v>
      </c>
      <c r="F11" s="1" t="s">
        <v>40</v>
      </c>
    </row>
    <row r="12" spans="1:6" x14ac:dyDescent="0.25">
      <c r="A12" s="1" t="s">
        <v>56</v>
      </c>
      <c r="B12" s="20">
        <v>45000</v>
      </c>
      <c r="C12" s="20"/>
      <c r="D12" s="20">
        <v>45000</v>
      </c>
      <c r="E12" s="1" t="str">
        <f>VLOOKUP(A12,'CHARTS OF ACCOUNTS'!D:E,2,FALSE)</f>
        <v>Expenses</v>
      </c>
      <c r="F12" s="1" t="s">
        <v>48</v>
      </c>
    </row>
    <row r="13" spans="1:6" x14ac:dyDescent="0.25">
      <c r="A13" s="1" t="s">
        <v>60</v>
      </c>
      <c r="B13" s="20">
        <v>35000</v>
      </c>
      <c r="C13" s="20"/>
      <c r="D13" s="20">
        <v>35000</v>
      </c>
      <c r="E13" s="1" t="str">
        <f>VLOOKUP(A13,'CHARTS OF ACCOUNTS'!D:E,2,FALSE)</f>
        <v>Expenses</v>
      </c>
      <c r="F13" s="1" t="s">
        <v>48</v>
      </c>
    </row>
    <row r="14" spans="1:6" x14ac:dyDescent="0.25">
      <c r="A14" s="1" t="s">
        <v>59</v>
      </c>
      <c r="B14" s="20">
        <v>110000</v>
      </c>
      <c r="C14" s="20"/>
      <c r="D14" s="20">
        <v>110000</v>
      </c>
      <c r="E14" s="1" t="str">
        <f>VLOOKUP(A14,'CHARTS OF ACCOUNTS'!D:E,2,FALSE)</f>
        <v>Expenses</v>
      </c>
      <c r="F14" s="1" t="s">
        <v>48</v>
      </c>
    </row>
    <row r="15" spans="1:6" x14ac:dyDescent="0.25">
      <c r="A15" s="1" t="s">
        <v>54</v>
      </c>
      <c r="B15" s="20"/>
      <c r="C15" s="20">
        <v>1225000</v>
      </c>
      <c r="D15" s="20">
        <v>-1225000</v>
      </c>
      <c r="E15" s="1" t="str">
        <f>VLOOKUP(A15,'CHARTS OF ACCOUNTS'!D:E,2,FALSE)</f>
        <v>Revenue</v>
      </c>
      <c r="F15" s="1" t="s">
        <v>48</v>
      </c>
    </row>
    <row r="16" spans="1:6" x14ac:dyDescent="0.25">
      <c r="A16" s="1" t="s">
        <v>84</v>
      </c>
      <c r="B16" s="20">
        <v>490000</v>
      </c>
      <c r="C16" s="20"/>
      <c r="D16" s="20">
        <v>490000</v>
      </c>
      <c r="E16" s="1" t="str">
        <f>VLOOKUP(A16,'CHARTS OF ACCOUNTS'!D:E,2,FALSE)</f>
        <v>Expenses</v>
      </c>
      <c r="F16" s="1" t="s">
        <v>48</v>
      </c>
    </row>
    <row r="17" spans="1:4" x14ac:dyDescent="0.25">
      <c r="A17" s="1" t="s">
        <v>87</v>
      </c>
      <c r="B17" s="20">
        <v>142500</v>
      </c>
      <c r="C17" s="20"/>
      <c r="D17" s="20">
        <v>142500</v>
      </c>
    </row>
    <row r="18" spans="1:4" x14ac:dyDescent="0.25">
      <c r="A18" s="1" t="s">
        <v>88</v>
      </c>
      <c r="B18" s="20"/>
      <c r="C18" s="20">
        <v>142500</v>
      </c>
      <c r="D18" s="20">
        <v>-142500</v>
      </c>
    </row>
    <row r="19" spans="1:4" x14ac:dyDescent="0.25">
      <c r="A19" s="1" t="s">
        <v>78</v>
      </c>
      <c r="B19" s="20">
        <v>10117500</v>
      </c>
      <c r="C19" s="20">
        <v>10117500</v>
      </c>
      <c r="D19" s="20">
        <v>0</v>
      </c>
    </row>
  </sheetData>
  <mergeCells count="1">
    <mergeCell ref="A1:D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INVOICE</vt:lpstr>
      <vt:lpstr>CHARTS OF ACCOUNTS</vt:lpstr>
      <vt:lpstr>GENERAL ENTRIES</vt:lpstr>
      <vt:lpstr>LEDGER</vt:lpstr>
      <vt:lpstr>TRIAL BALANCE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 Iftikhar</dc:creator>
  <cp:lastModifiedBy>Mariam Iftikhar</cp:lastModifiedBy>
  <cp:lastPrinted>2025-07-03T23:54:45Z</cp:lastPrinted>
  <dcterms:created xsi:type="dcterms:W3CDTF">2025-07-03T23:43:16Z</dcterms:created>
  <dcterms:modified xsi:type="dcterms:W3CDTF">2026-01-03T20:23:24Z</dcterms:modified>
</cp:coreProperties>
</file>